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mh202\Downloads\"/>
    </mc:Choice>
  </mc:AlternateContent>
  <xr:revisionPtr revIDLastSave="0" documentId="13_ncr:1_{BA772C47-246E-45B3-8545-D7B82A7BE7D6}" xr6:coauthVersionLast="47" xr6:coauthVersionMax="47" xr10:uidLastSave="{00000000-0000-0000-0000-000000000000}"/>
  <bookViews>
    <workbookView xWindow="-108" yWindow="-108" windowWidth="23256" windowHeight="12456" tabRatio="500" firstSheet="4" activeTab="8" xr2:uid="{00000000-000D-0000-FFFF-FFFF00000000}"/>
  </bookViews>
  <sheets>
    <sheet name="HOME" sheetId="12" r:id="rId1"/>
    <sheet name="SALES_ANALYSIS" sheetId="6" r:id="rId2"/>
    <sheet name="PIVOT_HUB" sheetId="3" state="hidden" r:id="rId3"/>
    <sheet name="EXEC_SUMMARY" sheetId="5" r:id="rId4"/>
    <sheet name="CUSTOMER_INSIGHTS" sheetId="7" r:id="rId5"/>
    <sheet name="RAW_DATA" sheetId="1" r:id="rId6"/>
    <sheet name="INVENTORY" sheetId="8" r:id="rId7"/>
    <sheet name="PnL" sheetId="9" r:id="rId8"/>
    <sheet name="STORE_COMPARISON" sheetId="11" r:id="rId9"/>
  </sheets>
  <definedNames>
    <definedName name="_xlnm._FilterDatabase" localSheetId="5" hidden="1">RAW_DATA!$A$1:$N$501</definedName>
    <definedName name="Slicer_Category">#N/A</definedName>
    <definedName name="Slicer_Store_Name">#N/A</definedName>
  </definedNames>
  <calcPr calcId="191029" iterateDelta="1E-4"/>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6" i="11" l="1"/>
  <c r="D6" i="11" s="1"/>
  <c r="C7" i="11"/>
  <c r="C8" i="11"/>
  <c r="C9" i="11"/>
  <c r="C5" i="11"/>
  <c r="B6" i="11"/>
  <c r="B7" i="11"/>
  <c r="B8" i="11"/>
  <c r="B9" i="11"/>
  <c r="B5" i="11"/>
  <c r="A6" i="11"/>
  <c r="A7" i="11"/>
  <c r="A8" i="11"/>
  <c r="A9" i="11"/>
  <c r="A5" i="11"/>
  <c r="C13" i="9"/>
  <c r="N9" i="8"/>
  <c r="N8" i="8"/>
  <c r="N7" i="8"/>
  <c r="N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6" i="8"/>
  <c r="A4" i="8"/>
  <c r="E21" i="7"/>
  <c r="D21" i="7"/>
  <c r="C21" i="7"/>
  <c r="E20" i="7"/>
  <c r="D20" i="7"/>
  <c r="C20" i="7"/>
  <c r="E19" i="7"/>
  <c r="D19" i="7"/>
  <c r="C19" i="7"/>
  <c r="B19" i="7"/>
  <c r="B20" i="7"/>
  <c r="B21" i="7"/>
  <c r="E6" i="7"/>
  <c r="E7" i="7"/>
  <c r="E5" i="7"/>
  <c r="D15" i="7" s="1"/>
  <c r="D6" i="7"/>
  <c r="D7" i="7"/>
  <c r="D5" i="7"/>
  <c r="C6" i="7"/>
  <c r="C7" i="7"/>
  <c r="C5" i="7"/>
  <c r="B6" i="7"/>
  <c r="B7" i="7"/>
  <c r="B5" i="7"/>
  <c r="C27" i="6"/>
  <c r="C26" i="6"/>
  <c r="C25" i="6"/>
  <c r="C24" i="6"/>
  <c r="C23" i="6"/>
  <c r="B27" i="6"/>
  <c r="B26" i="6"/>
  <c r="B25" i="6"/>
  <c r="B24" i="6"/>
  <c r="B23" i="6"/>
  <c r="E23" i="6" s="1"/>
  <c r="C16" i="6"/>
  <c r="C15" i="6"/>
  <c r="C14" i="6"/>
  <c r="C13" i="6"/>
  <c r="C12" i="6"/>
  <c r="C11" i="6"/>
  <c r="C10" i="6"/>
  <c r="C9" i="6"/>
  <c r="C8" i="6"/>
  <c r="C7" i="6"/>
  <c r="C6" i="6"/>
  <c r="C5" i="6"/>
  <c r="B16" i="6"/>
  <c r="B15" i="6"/>
  <c r="B14" i="6"/>
  <c r="B13" i="6"/>
  <c r="B12" i="6"/>
  <c r="B11" i="6"/>
  <c r="B10" i="6"/>
  <c r="B9" i="6"/>
  <c r="B8" i="6"/>
  <c r="B7" i="6"/>
  <c r="B6" i="6"/>
  <c r="B5" i="6"/>
  <c r="A16" i="6"/>
  <c r="A15" i="6"/>
  <c r="A14" i="6"/>
  <c r="A13" i="6"/>
  <c r="A12" i="6"/>
  <c r="A11" i="6"/>
  <c r="A10" i="6"/>
  <c r="A9" i="6"/>
  <c r="A8" i="6"/>
  <c r="A7" i="6"/>
  <c r="A6" i="6"/>
  <c r="A5" i="6"/>
  <c r="L7" i="5"/>
  <c r="F7" i="5"/>
  <c r="D7" i="5"/>
  <c r="B7" i="5"/>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M169" i="1"/>
  <c r="L169" i="1"/>
  <c r="N169" i="1" s="1"/>
  <c r="L168" i="1"/>
  <c r="L167" i="1"/>
  <c r="L166" i="1"/>
  <c r="L165" i="1"/>
  <c r="L164" i="1"/>
  <c r="L163" i="1"/>
  <c r="L162" i="1"/>
  <c r="L161" i="1"/>
  <c r="L160" i="1"/>
  <c r="L159" i="1"/>
  <c r="L158" i="1"/>
  <c r="L157" i="1"/>
  <c r="M156" i="1"/>
  <c r="L156" i="1"/>
  <c r="N156" i="1" s="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D8" i="11" l="1"/>
  <c r="D7" i="11"/>
  <c r="D5" i="11"/>
  <c r="D9" i="11"/>
  <c r="C13" i="11"/>
  <c r="D13" i="11"/>
  <c r="E13" i="11"/>
  <c r="F13" i="11"/>
  <c r="B13" i="11"/>
  <c r="C12" i="11"/>
  <c r="E6" i="11"/>
  <c r="E7" i="11"/>
  <c r="D12" i="11"/>
  <c r="E8" i="11"/>
  <c r="E12" i="11"/>
  <c r="F12" i="11"/>
  <c r="E9" i="11"/>
  <c r="K12" i="11"/>
  <c r="K16" i="11" s="1"/>
  <c r="M12" i="11"/>
  <c r="M16" i="11" s="1"/>
  <c r="K13" i="11"/>
  <c r="E5" i="11"/>
  <c r="M13" i="11"/>
  <c r="B12" i="11"/>
  <c r="C14" i="9"/>
  <c r="C15" i="9"/>
  <c r="C15" i="7"/>
  <c r="D14" i="7"/>
  <c r="D13" i="7"/>
  <c r="B15" i="7"/>
  <c r="C14" i="7"/>
  <c r="C13" i="7"/>
  <c r="B14" i="7"/>
  <c r="B13" i="7"/>
  <c r="D27" i="6"/>
  <c r="D26" i="6"/>
  <c r="D25" i="6"/>
  <c r="D24" i="6"/>
  <c r="D23" i="6"/>
  <c r="E27" i="6"/>
  <c r="E26" i="6"/>
  <c r="E25" i="6"/>
  <c r="E24" i="6"/>
  <c r="D16" i="6"/>
  <c r="D15" i="6"/>
  <c r="D14" i="6"/>
  <c r="D13" i="6"/>
  <c r="D12" i="6"/>
  <c r="D11" i="6"/>
  <c r="D10" i="6"/>
  <c r="D9" i="6"/>
  <c r="D8" i="6"/>
  <c r="D7" i="6"/>
  <c r="D6" i="6"/>
  <c r="A4" i="5"/>
  <c r="H7" i="5"/>
  <c r="M501" i="1"/>
  <c r="N501" i="1" s="1"/>
  <c r="M500" i="1"/>
  <c r="N500" i="1" s="1"/>
  <c r="M499" i="1"/>
  <c r="N499" i="1" s="1"/>
  <c r="M498" i="1"/>
  <c r="N498" i="1" s="1"/>
  <c r="M497" i="1"/>
  <c r="N497" i="1"/>
  <c r="M496" i="1"/>
  <c r="N496" i="1" s="1"/>
  <c r="M495" i="1"/>
  <c r="N495" i="1"/>
  <c r="M494" i="1"/>
  <c r="N494" i="1" s="1"/>
  <c r="M493" i="1"/>
  <c r="N493" i="1" s="1"/>
  <c r="M492" i="1"/>
  <c r="N492" i="1" s="1"/>
  <c r="M491" i="1"/>
  <c r="N491" i="1" s="1"/>
  <c r="N490" i="1"/>
  <c r="M490" i="1"/>
  <c r="M489" i="1"/>
  <c r="N489" i="1" s="1"/>
  <c r="M488" i="1"/>
  <c r="N488" i="1" s="1"/>
  <c r="M487" i="1"/>
  <c r="N487" i="1" s="1"/>
  <c r="M486" i="1"/>
  <c r="N486" i="1" s="1"/>
  <c r="M485" i="1"/>
  <c r="N485" i="1"/>
  <c r="M484" i="1"/>
  <c r="N484" i="1" s="1"/>
  <c r="M483" i="1"/>
  <c r="N483" i="1" s="1"/>
  <c r="M482" i="1"/>
  <c r="N482" i="1" s="1"/>
  <c r="M481" i="1"/>
  <c r="N481" i="1" s="1"/>
  <c r="M480" i="1"/>
  <c r="N480" i="1" s="1"/>
  <c r="M479" i="1"/>
  <c r="N479" i="1" s="1"/>
  <c r="M478" i="1"/>
  <c r="N478" i="1" s="1"/>
  <c r="M477" i="1"/>
  <c r="N477" i="1"/>
  <c r="M476" i="1"/>
  <c r="N476" i="1"/>
  <c r="M475" i="1"/>
  <c r="N475" i="1"/>
  <c r="M474" i="1"/>
  <c r="N474" i="1" s="1"/>
  <c r="M473" i="1"/>
  <c r="N473" i="1" s="1"/>
  <c r="M472" i="1"/>
  <c r="N472" i="1" s="1"/>
  <c r="M471" i="1"/>
  <c r="N471" i="1"/>
  <c r="M470" i="1"/>
  <c r="N470" i="1" s="1"/>
  <c r="M469" i="1"/>
  <c r="N469" i="1"/>
  <c r="M468" i="1"/>
  <c r="N468" i="1" s="1"/>
  <c r="M467" i="1"/>
  <c r="N467" i="1" s="1"/>
  <c r="M466" i="1"/>
  <c r="N466" i="1"/>
  <c r="M465" i="1"/>
  <c r="N465" i="1"/>
  <c r="M464" i="1"/>
  <c r="N464" i="1"/>
  <c r="M463" i="1"/>
  <c r="N463" i="1" s="1"/>
  <c r="M462" i="1"/>
  <c r="N462" i="1" s="1"/>
  <c r="M461" i="1"/>
  <c r="N461" i="1" s="1"/>
  <c r="M460" i="1"/>
  <c r="N460" i="1" s="1"/>
  <c r="M459" i="1"/>
  <c r="N459" i="1"/>
  <c r="M458" i="1"/>
  <c r="N458" i="1" s="1"/>
  <c r="M457" i="1"/>
  <c r="N457" i="1"/>
  <c r="M456" i="1"/>
  <c r="N456" i="1"/>
  <c r="M455" i="1"/>
  <c r="N455" i="1" s="1"/>
  <c r="N454" i="1"/>
  <c r="M454" i="1"/>
  <c r="M453" i="1"/>
  <c r="N453" i="1" s="1"/>
  <c r="M452" i="1"/>
  <c r="N452" i="1" s="1"/>
  <c r="M451" i="1"/>
  <c r="N451" i="1" s="1"/>
  <c r="M450" i="1"/>
  <c r="N450" i="1" s="1"/>
  <c r="M449" i="1"/>
  <c r="N449" i="1"/>
  <c r="M448" i="1"/>
  <c r="N448" i="1" s="1"/>
  <c r="M447" i="1"/>
  <c r="N447" i="1"/>
  <c r="M446" i="1"/>
  <c r="N446" i="1" s="1"/>
  <c r="M445" i="1"/>
  <c r="N445" i="1" s="1"/>
  <c r="M444" i="1"/>
  <c r="N444" i="1"/>
  <c r="M443" i="1"/>
  <c r="N443" i="1"/>
  <c r="M442" i="1"/>
  <c r="N442" i="1"/>
  <c r="M441" i="1"/>
  <c r="N441" i="1" s="1"/>
  <c r="M440" i="1"/>
  <c r="N440" i="1" s="1"/>
  <c r="M439" i="1"/>
  <c r="N439" i="1"/>
  <c r="M438" i="1"/>
  <c r="N438" i="1"/>
  <c r="M437" i="1"/>
  <c r="N437" i="1" s="1"/>
  <c r="M436" i="1"/>
  <c r="N436" i="1"/>
  <c r="M435" i="1"/>
  <c r="N435" i="1" s="1"/>
  <c r="M434" i="1"/>
  <c r="N434" i="1"/>
  <c r="M433" i="1"/>
  <c r="N433" i="1"/>
  <c r="M432" i="1"/>
  <c r="N432" i="1" s="1"/>
  <c r="M431" i="1"/>
  <c r="N431" i="1" s="1"/>
  <c r="M430" i="1"/>
  <c r="N430" i="1"/>
  <c r="N429" i="1"/>
  <c r="M429" i="1"/>
  <c r="M428" i="1"/>
  <c r="N428" i="1"/>
  <c r="M427" i="1"/>
  <c r="N427" i="1"/>
  <c r="M426" i="1"/>
  <c r="N426" i="1" s="1"/>
  <c r="M425" i="1"/>
  <c r="N425" i="1" s="1"/>
  <c r="M424" i="1"/>
  <c r="N424" i="1" s="1"/>
  <c r="M423" i="1"/>
  <c r="N423" i="1" s="1"/>
  <c r="M422" i="1"/>
  <c r="N422" i="1" s="1"/>
  <c r="N421" i="1"/>
  <c r="M421" i="1"/>
  <c r="M420" i="1"/>
  <c r="N420" i="1"/>
  <c r="M419" i="1"/>
  <c r="N419" i="1" s="1"/>
  <c r="M418" i="1"/>
  <c r="N418" i="1" s="1"/>
  <c r="M417" i="1"/>
  <c r="N417" i="1"/>
  <c r="M416" i="1"/>
  <c r="N416" i="1" s="1"/>
  <c r="M415" i="1"/>
  <c r="N415" i="1" s="1"/>
  <c r="M414" i="1"/>
  <c r="N414" i="1" s="1"/>
  <c r="M413" i="1"/>
  <c r="N413" i="1" s="1"/>
  <c r="M412" i="1"/>
  <c r="N412" i="1" s="1"/>
  <c r="M411" i="1"/>
  <c r="N411" i="1" s="1"/>
  <c r="M410" i="1"/>
  <c r="N410" i="1" s="1"/>
  <c r="M409" i="1"/>
  <c r="N409" i="1"/>
  <c r="M408" i="1"/>
  <c r="N408" i="1"/>
  <c r="M407" i="1"/>
  <c r="N407" i="1"/>
  <c r="M406" i="1"/>
  <c r="N406" i="1" s="1"/>
  <c r="M405" i="1"/>
  <c r="N405" i="1" s="1"/>
  <c r="M404" i="1"/>
  <c r="N404" i="1" s="1"/>
  <c r="M403" i="1"/>
  <c r="N403" i="1" s="1"/>
  <c r="M402" i="1"/>
  <c r="N402" i="1" s="1"/>
  <c r="M401" i="1"/>
  <c r="N401" i="1" s="1"/>
  <c r="M400" i="1"/>
  <c r="N400" i="1"/>
  <c r="M399" i="1"/>
  <c r="N399" i="1"/>
  <c r="M398" i="1"/>
  <c r="N398" i="1" s="1"/>
  <c r="M397" i="1"/>
  <c r="N397" i="1" s="1"/>
  <c r="M396" i="1"/>
  <c r="N396" i="1" s="1"/>
  <c r="M395" i="1"/>
  <c r="N395" i="1"/>
  <c r="M394" i="1"/>
  <c r="N394" i="1" s="1"/>
  <c r="M393" i="1"/>
  <c r="N393" i="1"/>
  <c r="M392" i="1"/>
  <c r="N392" i="1"/>
  <c r="M391" i="1"/>
  <c r="N391" i="1"/>
  <c r="M390" i="1"/>
  <c r="N390" i="1"/>
  <c r="M389" i="1"/>
  <c r="N389" i="1" s="1"/>
  <c r="M388" i="1"/>
  <c r="N388" i="1" s="1"/>
  <c r="M387" i="1"/>
  <c r="N387" i="1" s="1"/>
  <c r="M386" i="1"/>
  <c r="N386" i="1"/>
  <c r="M385" i="1"/>
  <c r="N385" i="1" s="1"/>
  <c r="M384" i="1"/>
  <c r="N384" i="1" s="1"/>
  <c r="M383" i="1"/>
  <c r="N383" i="1" s="1"/>
  <c r="M382" i="1"/>
  <c r="N382" i="1"/>
  <c r="M381" i="1"/>
  <c r="N381" i="1" s="1"/>
  <c r="M380" i="1"/>
  <c r="N380" i="1"/>
  <c r="M379" i="1"/>
  <c r="N379" i="1"/>
  <c r="M378" i="1"/>
  <c r="N378" i="1"/>
  <c r="M377" i="1"/>
  <c r="N377" i="1"/>
  <c r="M376" i="1"/>
  <c r="N376" i="1" s="1"/>
  <c r="M375" i="1"/>
  <c r="N375" i="1" s="1"/>
  <c r="M374" i="1"/>
  <c r="N374" i="1" s="1"/>
  <c r="M373" i="1"/>
  <c r="N373" i="1" s="1"/>
  <c r="M372" i="1"/>
  <c r="N372" i="1" s="1"/>
  <c r="M371" i="1"/>
  <c r="N371" i="1" s="1"/>
  <c r="M370" i="1"/>
  <c r="N370" i="1" s="1"/>
  <c r="M369" i="1"/>
  <c r="N369" i="1"/>
  <c r="M368" i="1"/>
  <c r="N368" i="1"/>
  <c r="M367" i="1"/>
  <c r="N367" i="1" s="1"/>
  <c r="M366" i="1"/>
  <c r="N366" i="1"/>
  <c r="M365" i="1"/>
  <c r="N365" i="1"/>
  <c r="M364" i="1"/>
  <c r="N364" i="1"/>
  <c r="M363" i="1"/>
  <c r="N363" i="1"/>
  <c r="M362" i="1"/>
  <c r="N362" i="1"/>
  <c r="M361" i="1"/>
  <c r="N361" i="1"/>
  <c r="M360" i="1"/>
  <c r="N360" i="1" s="1"/>
  <c r="M359" i="1"/>
  <c r="N359" i="1"/>
  <c r="M358" i="1"/>
  <c r="N358" i="1"/>
  <c r="M357" i="1"/>
  <c r="N357" i="1"/>
  <c r="M356" i="1"/>
  <c r="N356" i="1" s="1"/>
  <c r="M355" i="1"/>
  <c r="N355" i="1" s="1"/>
  <c r="M354" i="1"/>
  <c r="N354" i="1" s="1"/>
  <c r="M353" i="1"/>
  <c r="N353" i="1" s="1"/>
  <c r="M352" i="1"/>
  <c r="N352" i="1" s="1"/>
  <c r="M351" i="1"/>
  <c r="N351" i="1" s="1"/>
  <c r="M350" i="1"/>
  <c r="N350" i="1" s="1"/>
  <c r="M349" i="1"/>
  <c r="N349" i="1"/>
  <c r="M348" i="1"/>
  <c r="N348" i="1" s="1"/>
  <c r="M347" i="1"/>
  <c r="N347" i="1"/>
  <c r="M346" i="1"/>
  <c r="N346" i="1" s="1"/>
  <c r="M345" i="1"/>
  <c r="N345" i="1"/>
  <c r="M344" i="1"/>
  <c r="N344" i="1" s="1"/>
  <c r="M343" i="1"/>
  <c r="N343" i="1"/>
  <c r="M342" i="1"/>
  <c r="N342" i="1" s="1"/>
  <c r="M341" i="1"/>
  <c r="N341" i="1"/>
  <c r="M340" i="1"/>
  <c r="N340" i="1"/>
  <c r="M339" i="1"/>
  <c r="N339" i="1" s="1"/>
  <c r="M338" i="1"/>
  <c r="N338" i="1" s="1"/>
  <c r="M337" i="1"/>
  <c r="N337" i="1" s="1"/>
  <c r="M336" i="1"/>
  <c r="N336" i="1"/>
  <c r="M335" i="1"/>
  <c r="N335" i="1" s="1"/>
  <c r="M334" i="1"/>
  <c r="N334" i="1" s="1"/>
  <c r="M333" i="1"/>
  <c r="N333" i="1" s="1"/>
  <c r="M332" i="1"/>
  <c r="N332" i="1"/>
  <c r="M331" i="1"/>
  <c r="N331" i="1"/>
  <c r="M330" i="1"/>
  <c r="N330" i="1" s="1"/>
  <c r="M329" i="1"/>
  <c r="N329" i="1" s="1"/>
  <c r="M328" i="1"/>
  <c r="N328" i="1"/>
  <c r="M327" i="1"/>
  <c r="N327" i="1"/>
  <c r="M326" i="1"/>
  <c r="N326" i="1"/>
  <c r="M325" i="1"/>
  <c r="N325" i="1" s="1"/>
  <c r="M324" i="1"/>
  <c r="N324" i="1" s="1"/>
  <c r="M323" i="1"/>
  <c r="N323" i="1" s="1"/>
  <c r="M322" i="1"/>
  <c r="N322" i="1"/>
  <c r="M321" i="1"/>
  <c r="N321" i="1" s="1"/>
  <c r="M320" i="1"/>
  <c r="N320" i="1" s="1"/>
  <c r="M319" i="1"/>
  <c r="N319" i="1"/>
  <c r="M318" i="1"/>
  <c r="N318" i="1" s="1"/>
  <c r="M317" i="1"/>
  <c r="N317" i="1" s="1"/>
  <c r="M316" i="1"/>
  <c r="N316" i="1" s="1"/>
  <c r="M315" i="1"/>
  <c r="N315" i="1"/>
  <c r="M314" i="1"/>
  <c r="N314" i="1" s="1"/>
  <c r="M313" i="1"/>
  <c r="N313" i="1"/>
  <c r="M312" i="1"/>
  <c r="N312" i="1" s="1"/>
  <c r="M311" i="1"/>
  <c r="N311" i="1" s="1"/>
  <c r="M310" i="1"/>
  <c r="N310" i="1" s="1"/>
  <c r="M309" i="1"/>
  <c r="N309" i="1" s="1"/>
  <c r="M308" i="1"/>
  <c r="N308" i="1" s="1"/>
  <c r="M307" i="1"/>
  <c r="N307" i="1"/>
  <c r="M306" i="1"/>
  <c r="N306" i="1"/>
  <c r="M305" i="1"/>
  <c r="N305" i="1" s="1"/>
  <c r="M304" i="1"/>
  <c r="N304" i="1"/>
  <c r="M303" i="1"/>
  <c r="N303" i="1" s="1"/>
  <c r="M302" i="1"/>
  <c r="N302" i="1" s="1"/>
  <c r="M301" i="1"/>
  <c r="N301" i="1"/>
  <c r="M300" i="1"/>
  <c r="N300" i="1"/>
  <c r="M299" i="1"/>
  <c r="N299" i="1"/>
  <c r="M298" i="1"/>
  <c r="N298" i="1" s="1"/>
  <c r="M297" i="1"/>
  <c r="N297" i="1"/>
  <c r="M296" i="1"/>
  <c r="N296" i="1"/>
  <c r="M295" i="1"/>
  <c r="N295" i="1" s="1"/>
  <c r="M294" i="1"/>
  <c r="N294" i="1" s="1"/>
  <c r="M293" i="1"/>
  <c r="N293" i="1" s="1"/>
  <c r="M292" i="1"/>
  <c r="N292" i="1"/>
  <c r="M291" i="1"/>
  <c r="N291" i="1"/>
  <c r="M290" i="1"/>
  <c r="N290" i="1"/>
  <c r="M289" i="1"/>
  <c r="N289" i="1" s="1"/>
  <c r="M288" i="1"/>
  <c r="N288" i="1" s="1"/>
  <c r="M287" i="1"/>
  <c r="N287" i="1" s="1"/>
  <c r="M286" i="1"/>
  <c r="N286" i="1"/>
  <c r="M285" i="1"/>
  <c r="N285" i="1"/>
  <c r="M284" i="1"/>
  <c r="N284" i="1"/>
  <c r="M283" i="1"/>
  <c r="N283" i="1"/>
  <c r="M282" i="1"/>
  <c r="N282" i="1" s="1"/>
  <c r="M281" i="1"/>
  <c r="N281" i="1"/>
  <c r="M280" i="1"/>
  <c r="N280" i="1"/>
  <c r="M279" i="1"/>
  <c r="N279" i="1"/>
  <c r="M278" i="1"/>
  <c r="N278" i="1" s="1"/>
  <c r="M277" i="1"/>
  <c r="N277" i="1" s="1"/>
  <c r="M276" i="1"/>
  <c r="N276" i="1" s="1"/>
  <c r="M275" i="1"/>
  <c r="N275" i="1" s="1"/>
  <c r="M274" i="1"/>
  <c r="N274" i="1"/>
  <c r="M273" i="1"/>
  <c r="N273" i="1" s="1"/>
  <c r="M272" i="1"/>
  <c r="N272" i="1"/>
  <c r="M271" i="1"/>
  <c r="N271" i="1"/>
  <c r="M270" i="1"/>
  <c r="N270" i="1"/>
  <c r="M269" i="1"/>
  <c r="N269" i="1"/>
  <c r="M268" i="1"/>
  <c r="N268" i="1" s="1"/>
  <c r="M267" i="1"/>
  <c r="N267" i="1" s="1"/>
  <c r="M266" i="1"/>
  <c r="N266" i="1" s="1"/>
  <c r="M265" i="1"/>
  <c r="N265" i="1" s="1"/>
  <c r="M264" i="1"/>
  <c r="N264" i="1"/>
  <c r="M263" i="1"/>
  <c r="N263" i="1" s="1"/>
  <c r="M262" i="1"/>
  <c r="N262" i="1"/>
  <c r="M261" i="1"/>
  <c r="N261" i="1" s="1"/>
  <c r="M260" i="1"/>
  <c r="N260" i="1" s="1"/>
  <c r="M259" i="1"/>
  <c r="N259" i="1" s="1"/>
  <c r="M258" i="1"/>
  <c r="N258" i="1" s="1"/>
  <c r="M257" i="1"/>
  <c r="N257" i="1" s="1"/>
  <c r="M256" i="1"/>
  <c r="N256" i="1" s="1"/>
  <c r="M255" i="1"/>
  <c r="N255" i="1" s="1"/>
  <c r="M254" i="1"/>
  <c r="N254" i="1" s="1"/>
  <c r="M253" i="1"/>
  <c r="N253" i="1"/>
  <c r="M252" i="1"/>
  <c r="N252" i="1" s="1"/>
  <c r="M251" i="1"/>
  <c r="N251" i="1" s="1"/>
  <c r="M250" i="1"/>
  <c r="N250" i="1"/>
  <c r="M249" i="1"/>
  <c r="N249" i="1"/>
  <c r="M248" i="1"/>
  <c r="N248" i="1"/>
  <c r="M247" i="1"/>
  <c r="N247" i="1" s="1"/>
  <c r="M246" i="1"/>
  <c r="N246" i="1"/>
  <c r="M245" i="1"/>
  <c r="N245" i="1" s="1"/>
  <c r="M244" i="1"/>
  <c r="N244" i="1" s="1"/>
  <c r="N243" i="1"/>
  <c r="M243" i="1"/>
  <c r="M242" i="1"/>
  <c r="N242" i="1" s="1"/>
  <c r="M241" i="1"/>
  <c r="N241" i="1" s="1"/>
  <c r="M240" i="1"/>
  <c r="N240" i="1"/>
  <c r="M239" i="1"/>
  <c r="N239" i="1" s="1"/>
  <c r="M238" i="1"/>
  <c r="N238" i="1"/>
  <c r="M237" i="1"/>
  <c r="N237" i="1" s="1"/>
  <c r="M236" i="1"/>
  <c r="N236" i="1" s="1"/>
  <c r="M235" i="1"/>
  <c r="N235" i="1" s="1"/>
  <c r="M234" i="1"/>
  <c r="N234" i="1" s="1"/>
  <c r="M233" i="1"/>
  <c r="N233" i="1"/>
  <c r="M232" i="1"/>
  <c r="N232" i="1" s="1"/>
  <c r="M231" i="1"/>
  <c r="N231" i="1" s="1"/>
  <c r="M230" i="1"/>
  <c r="N230" i="1" s="1"/>
  <c r="M229" i="1"/>
  <c r="N229" i="1" s="1"/>
  <c r="M228" i="1"/>
  <c r="N228" i="1"/>
  <c r="M227" i="1"/>
  <c r="N227" i="1" s="1"/>
  <c r="M226" i="1"/>
  <c r="N226" i="1" s="1"/>
  <c r="M225" i="1"/>
  <c r="N225" i="1" s="1"/>
  <c r="M224" i="1"/>
  <c r="N224" i="1"/>
  <c r="M223" i="1"/>
  <c r="N223" i="1"/>
  <c r="M222" i="1"/>
  <c r="N222" i="1" s="1"/>
  <c r="M221" i="1"/>
  <c r="N221" i="1" s="1"/>
  <c r="M220" i="1"/>
  <c r="N220" i="1"/>
  <c r="M219" i="1"/>
  <c r="N219" i="1"/>
  <c r="M218" i="1"/>
  <c r="N218" i="1"/>
  <c r="M217" i="1"/>
  <c r="N217" i="1"/>
  <c r="M216" i="1"/>
  <c r="N216" i="1" s="1"/>
  <c r="M215" i="1"/>
  <c r="N215" i="1"/>
  <c r="M214" i="1"/>
  <c r="N214" i="1" s="1"/>
  <c r="M213" i="1"/>
  <c r="N213" i="1"/>
  <c r="M212" i="1"/>
  <c r="N212" i="1" s="1"/>
  <c r="M211" i="1"/>
  <c r="N211" i="1"/>
  <c r="M210" i="1"/>
  <c r="N210" i="1" s="1"/>
  <c r="M209" i="1"/>
  <c r="N209" i="1"/>
  <c r="M208" i="1"/>
  <c r="N208" i="1"/>
  <c r="M207" i="1"/>
  <c r="N207" i="1"/>
  <c r="M206" i="1"/>
  <c r="N206" i="1" s="1"/>
  <c r="M205" i="1"/>
  <c r="N205" i="1"/>
  <c r="M204" i="1"/>
  <c r="N204" i="1"/>
  <c r="M203" i="1"/>
  <c r="N203" i="1" s="1"/>
  <c r="M202" i="1"/>
  <c r="N202" i="1" s="1"/>
  <c r="M201" i="1"/>
  <c r="N201" i="1" s="1"/>
  <c r="N200" i="1"/>
  <c r="M200" i="1"/>
  <c r="M199" i="1"/>
  <c r="N199" i="1"/>
  <c r="M198" i="1"/>
  <c r="N198" i="1"/>
  <c r="M197" i="1"/>
  <c r="N197" i="1"/>
  <c r="M196" i="1"/>
  <c r="N196" i="1"/>
  <c r="M195" i="1"/>
  <c r="N195" i="1"/>
  <c r="M194" i="1"/>
  <c r="N194" i="1"/>
  <c r="M193" i="1"/>
  <c r="N193" i="1" s="1"/>
  <c r="M192" i="1"/>
  <c r="N192" i="1" s="1"/>
  <c r="M191" i="1"/>
  <c r="N191" i="1"/>
  <c r="M190" i="1"/>
  <c r="N190" i="1" s="1"/>
  <c r="M189" i="1"/>
  <c r="N189" i="1"/>
  <c r="M188" i="1"/>
  <c r="N188" i="1"/>
  <c r="M187" i="1"/>
  <c r="N187" i="1" s="1"/>
  <c r="M186" i="1"/>
  <c r="N186" i="1"/>
  <c r="M185" i="1"/>
  <c r="N185" i="1" s="1"/>
  <c r="M184" i="1"/>
  <c r="N184" i="1"/>
  <c r="M183" i="1"/>
  <c r="N183" i="1"/>
  <c r="M182" i="1"/>
  <c r="N182" i="1"/>
  <c r="M181" i="1"/>
  <c r="N181" i="1" s="1"/>
  <c r="M180" i="1"/>
  <c r="N180" i="1"/>
  <c r="M179" i="1"/>
  <c r="N179" i="1" s="1"/>
  <c r="M178" i="1"/>
  <c r="N178" i="1"/>
  <c r="M177" i="1"/>
  <c r="N177" i="1"/>
  <c r="M176" i="1"/>
  <c r="N176" i="1"/>
  <c r="M175" i="1"/>
  <c r="N175" i="1"/>
  <c r="M174" i="1"/>
  <c r="N174" i="1"/>
  <c r="M173" i="1"/>
  <c r="N173" i="1" s="1"/>
  <c r="M172" i="1"/>
  <c r="N172" i="1" s="1"/>
  <c r="M171" i="1"/>
  <c r="N171" i="1" s="1"/>
  <c r="M170" i="1"/>
  <c r="N170" i="1"/>
  <c r="M168" i="1"/>
  <c r="N168" i="1"/>
  <c r="M167" i="1"/>
  <c r="N167" i="1"/>
  <c r="M166" i="1"/>
  <c r="N166" i="1"/>
  <c r="M165" i="1"/>
  <c r="N165" i="1" s="1"/>
  <c r="M164" i="1"/>
  <c r="N164" i="1"/>
  <c r="M163" i="1"/>
  <c r="N163" i="1"/>
  <c r="M162" i="1"/>
  <c r="N162" i="1"/>
  <c r="M161" i="1"/>
  <c r="N161" i="1" s="1"/>
  <c r="M160" i="1"/>
  <c r="N160" i="1" s="1"/>
  <c r="M159" i="1"/>
  <c r="N159" i="1" s="1"/>
  <c r="M158" i="1"/>
  <c r="N158" i="1" s="1"/>
  <c r="M157" i="1"/>
  <c r="N157" i="1" s="1"/>
  <c r="N155" i="1"/>
  <c r="M155" i="1"/>
  <c r="M154" i="1"/>
  <c r="N154" i="1"/>
  <c r="M153" i="1"/>
  <c r="N153" i="1" s="1"/>
  <c r="M152" i="1"/>
  <c r="N152" i="1"/>
  <c r="M151" i="1"/>
  <c r="N151" i="1" s="1"/>
  <c r="M150" i="1"/>
  <c r="N150" i="1"/>
  <c r="M149" i="1"/>
  <c r="N149" i="1"/>
  <c r="M148" i="1"/>
  <c r="N148" i="1"/>
  <c r="M147" i="1"/>
  <c r="N147" i="1" s="1"/>
  <c r="M146" i="1"/>
  <c r="N146" i="1"/>
  <c r="M145" i="1"/>
  <c r="N145" i="1"/>
  <c r="M144" i="1"/>
  <c r="N144" i="1" s="1"/>
  <c r="M143" i="1"/>
  <c r="N143" i="1"/>
  <c r="M142" i="1"/>
  <c r="N142" i="1" s="1"/>
  <c r="M141" i="1"/>
  <c r="N141" i="1"/>
  <c r="M140" i="1"/>
  <c r="N140" i="1" s="1"/>
  <c r="M139" i="1"/>
  <c r="N139" i="1"/>
  <c r="M138" i="1"/>
  <c r="N138" i="1" s="1"/>
  <c r="M137" i="1"/>
  <c r="N137" i="1" s="1"/>
  <c r="M136" i="1"/>
  <c r="N136" i="1"/>
  <c r="M135" i="1"/>
  <c r="N135" i="1" s="1"/>
  <c r="M134" i="1"/>
  <c r="N134" i="1"/>
  <c r="M133" i="1"/>
  <c r="N133" i="1"/>
  <c r="M132" i="1"/>
  <c r="N132" i="1"/>
  <c r="M131" i="1"/>
  <c r="N131" i="1" s="1"/>
  <c r="M130" i="1"/>
  <c r="N130" i="1" s="1"/>
  <c r="M129" i="1"/>
  <c r="N129" i="1" s="1"/>
  <c r="M128" i="1"/>
  <c r="N128" i="1"/>
  <c r="M127" i="1"/>
  <c r="N127" i="1" s="1"/>
  <c r="M126" i="1"/>
  <c r="N126" i="1"/>
  <c r="M125" i="1"/>
  <c r="N125" i="1"/>
  <c r="M124" i="1"/>
  <c r="N124" i="1" s="1"/>
  <c r="M123" i="1"/>
  <c r="N123" i="1"/>
  <c r="M122" i="1"/>
  <c r="N122" i="1" s="1"/>
  <c r="M121" i="1"/>
  <c r="N121" i="1" s="1"/>
  <c r="M120" i="1"/>
  <c r="N120" i="1" s="1"/>
  <c r="M119" i="1"/>
  <c r="N119" i="1"/>
  <c r="M118" i="1"/>
  <c r="N118" i="1" s="1"/>
  <c r="M117" i="1"/>
  <c r="N117" i="1"/>
  <c r="M116" i="1"/>
  <c r="N116" i="1" s="1"/>
  <c r="M115" i="1"/>
  <c r="N115" i="1" s="1"/>
  <c r="M114" i="1"/>
  <c r="N114" i="1" s="1"/>
  <c r="M113" i="1"/>
  <c r="N113" i="1"/>
  <c r="M112" i="1"/>
  <c r="N112" i="1" s="1"/>
  <c r="M111" i="1"/>
  <c r="N111" i="1" s="1"/>
  <c r="M110" i="1"/>
  <c r="N110" i="1" s="1"/>
  <c r="M109" i="1"/>
  <c r="N109" i="1" s="1"/>
  <c r="M108" i="1"/>
  <c r="N108" i="1"/>
  <c r="M107" i="1"/>
  <c r="N107" i="1"/>
  <c r="M106" i="1"/>
  <c r="N106" i="1"/>
  <c r="M105" i="1"/>
  <c r="N105" i="1" s="1"/>
  <c r="M104" i="1"/>
  <c r="N104" i="1" s="1"/>
  <c r="M103" i="1"/>
  <c r="N103" i="1" s="1"/>
  <c r="M102" i="1"/>
  <c r="N102" i="1"/>
  <c r="M101" i="1"/>
  <c r="N101" i="1" s="1"/>
  <c r="M100" i="1"/>
  <c r="N100" i="1" s="1"/>
  <c r="M99" i="1"/>
  <c r="N99" i="1" s="1"/>
  <c r="M98" i="1"/>
  <c r="N98" i="1" s="1"/>
  <c r="M97" i="1"/>
  <c r="N97" i="1" s="1"/>
  <c r="M96" i="1"/>
  <c r="N96" i="1" s="1"/>
  <c r="N95" i="1"/>
  <c r="M95" i="1"/>
  <c r="M94" i="1"/>
  <c r="N94" i="1"/>
  <c r="M93" i="1"/>
  <c r="N93" i="1" s="1"/>
  <c r="M92" i="1"/>
  <c r="N92" i="1"/>
  <c r="M91" i="1"/>
  <c r="N91" i="1" s="1"/>
  <c r="M90" i="1"/>
  <c r="N90" i="1"/>
  <c r="M89" i="1"/>
  <c r="N89" i="1"/>
  <c r="M88" i="1"/>
  <c r="N88" i="1" s="1"/>
  <c r="M87" i="1"/>
  <c r="N87" i="1"/>
  <c r="M86" i="1"/>
  <c r="N86" i="1"/>
  <c r="M85" i="1"/>
  <c r="N85" i="1" s="1"/>
  <c r="M84" i="1"/>
  <c r="N84" i="1" s="1"/>
  <c r="M83" i="1"/>
  <c r="N83" i="1"/>
  <c r="M82" i="1"/>
  <c r="N82" i="1"/>
  <c r="M81" i="1"/>
  <c r="N81" i="1"/>
  <c r="M80" i="1"/>
  <c r="N80" i="1"/>
  <c r="M79" i="1"/>
  <c r="N79" i="1" s="1"/>
  <c r="M78" i="1"/>
  <c r="N78" i="1"/>
  <c r="M77" i="1"/>
  <c r="N77" i="1" s="1"/>
  <c r="M76" i="1"/>
  <c r="N76" i="1" s="1"/>
  <c r="M75" i="1"/>
  <c r="N75" i="1"/>
  <c r="M74" i="1"/>
  <c r="N74" i="1"/>
  <c r="M73" i="1"/>
  <c r="N73" i="1" s="1"/>
  <c r="M72" i="1"/>
  <c r="N72" i="1" s="1"/>
  <c r="M71" i="1"/>
  <c r="N71" i="1" s="1"/>
  <c r="M70" i="1"/>
  <c r="N70" i="1" s="1"/>
  <c r="N69" i="1"/>
  <c r="M69" i="1"/>
  <c r="M68" i="1"/>
  <c r="N68" i="1" s="1"/>
  <c r="M67" i="1"/>
  <c r="N67" i="1" s="1"/>
  <c r="M66" i="1"/>
  <c r="N66" i="1"/>
  <c r="M65" i="1"/>
  <c r="N65" i="1" s="1"/>
  <c r="M64" i="1"/>
  <c r="N64" i="1" s="1"/>
  <c r="M63" i="1"/>
  <c r="N63" i="1" s="1"/>
  <c r="M62" i="1"/>
  <c r="N62" i="1" s="1"/>
  <c r="M61" i="1"/>
  <c r="N61" i="1" s="1"/>
  <c r="M60" i="1"/>
  <c r="N60" i="1"/>
  <c r="M59" i="1"/>
  <c r="N59" i="1" s="1"/>
  <c r="M58" i="1"/>
  <c r="N58" i="1" s="1"/>
  <c r="M57" i="1"/>
  <c r="N57" i="1"/>
  <c r="M56" i="1"/>
  <c r="N56" i="1"/>
  <c r="M55" i="1"/>
  <c r="N55" i="1"/>
  <c r="M54" i="1"/>
  <c r="N54" i="1" s="1"/>
  <c r="M53" i="1"/>
  <c r="N53" i="1" s="1"/>
  <c r="M52" i="1"/>
  <c r="N52" i="1"/>
  <c r="N51" i="1"/>
  <c r="M51" i="1"/>
  <c r="M50" i="1"/>
  <c r="N50" i="1" s="1"/>
  <c r="M49" i="1"/>
  <c r="N49" i="1" s="1"/>
  <c r="M48" i="1"/>
  <c r="N48" i="1" s="1"/>
  <c r="M47" i="1"/>
  <c r="N47" i="1" s="1"/>
  <c r="M46" i="1"/>
  <c r="N46" i="1"/>
  <c r="N45" i="1"/>
  <c r="M45" i="1"/>
  <c r="M44" i="1"/>
  <c r="N44" i="1"/>
  <c r="M43" i="1"/>
  <c r="N43" i="1"/>
  <c r="M42" i="1"/>
  <c r="N42" i="1" s="1"/>
  <c r="M41" i="1"/>
  <c r="N41" i="1" s="1"/>
  <c r="M40" i="1"/>
  <c r="N40" i="1" s="1"/>
  <c r="M39" i="1"/>
  <c r="N39" i="1" s="1"/>
  <c r="M38" i="1"/>
  <c r="N38" i="1" s="1"/>
  <c r="M37" i="1"/>
  <c r="N37" i="1" s="1"/>
  <c r="M36" i="1"/>
  <c r="N36" i="1"/>
  <c r="M35" i="1"/>
  <c r="N35" i="1"/>
  <c r="M34" i="1"/>
  <c r="N34" i="1" s="1"/>
  <c r="M33" i="1"/>
  <c r="N33" i="1"/>
  <c r="M32" i="1"/>
  <c r="N32" i="1" s="1"/>
  <c r="M31" i="1"/>
  <c r="N31" i="1" s="1"/>
  <c r="M30" i="1"/>
  <c r="N30" i="1"/>
  <c r="M29" i="1"/>
  <c r="N29" i="1"/>
  <c r="M28" i="1"/>
  <c r="N28" i="1" s="1"/>
  <c r="N27" i="1"/>
  <c r="M27" i="1"/>
  <c r="M26" i="1"/>
  <c r="N26" i="1" s="1"/>
  <c r="M25" i="1"/>
  <c r="N25" i="1" s="1"/>
  <c r="M24" i="1"/>
  <c r="N24" i="1" s="1"/>
  <c r="M23" i="1"/>
  <c r="N23" i="1"/>
  <c r="M22" i="1"/>
  <c r="N22" i="1" s="1"/>
  <c r="M21" i="1"/>
  <c r="N21" i="1" s="1"/>
  <c r="M20" i="1"/>
  <c r="N20" i="1" s="1"/>
  <c r="M19" i="1"/>
  <c r="N19" i="1"/>
  <c r="M18" i="1"/>
  <c r="N18" i="1"/>
  <c r="M17" i="1"/>
  <c r="N17" i="1" s="1"/>
  <c r="M16" i="1"/>
  <c r="N16" i="1" s="1"/>
  <c r="M15" i="1"/>
  <c r="N15" i="1" s="1"/>
  <c r="M14" i="1"/>
  <c r="N14" i="1" s="1"/>
  <c r="M13" i="1"/>
  <c r="N13" i="1" s="1"/>
  <c r="M12" i="1"/>
  <c r="N12" i="1" s="1"/>
  <c r="M11" i="1"/>
  <c r="N11" i="1" s="1"/>
  <c r="M10" i="1"/>
  <c r="N10" i="1" s="1"/>
  <c r="M9" i="1"/>
  <c r="N9" i="1" s="1"/>
  <c r="M8" i="1"/>
  <c r="N8" i="1"/>
  <c r="M7" i="1"/>
  <c r="N7" i="1" s="1"/>
  <c r="M6" i="1"/>
  <c r="N6" i="1"/>
  <c r="M5" i="1"/>
  <c r="N5" i="1" s="1"/>
  <c r="M4" i="1"/>
  <c r="N4" i="1" s="1"/>
  <c r="M3" i="1"/>
  <c r="N3" i="1" s="1"/>
  <c r="M2" i="1"/>
  <c r="N2" i="1"/>
  <c r="E14" i="11" l="1"/>
  <c r="B14" i="11"/>
  <c r="F14" i="11"/>
  <c r="D14" i="11"/>
  <c r="C14" i="11"/>
  <c r="F6" i="11"/>
  <c r="G6" i="11"/>
  <c r="M14" i="11"/>
  <c r="K14" i="11"/>
  <c r="F7" i="11"/>
  <c r="G7" i="11"/>
  <c r="G8" i="11"/>
  <c r="F8" i="11"/>
  <c r="F9" i="11"/>
  <c r="G9" i="11"/>
  <c r="F5" i="11"/>
  <c r="G5" i="11"/>
  <c r="A3" i="11" s="1"/>
  <c r="C20" i="9"/>
  <c r="C16" i="9"/>
  <c r="C17" i="9" s="1"/>
  <c r="D15" i="11" l="1"/>
  <c r="C17" i="11"/>
  <c r="C16" i="11"/>
  <c r="H6" i="11"/>
  <c r="M15" i="11"/>
  <c r="D16" i="11"/>
  <c r="H7" i="11"/>
  <c r="D17" i="11"/>
  <c r="K15" i="11"/>
  <c r="E17" i="11"/>
  <c r="E16" i="11"/>
  <c r="H8" i="11"/>
  <c r="H9" i="11"/>
  <c r="F17" i="11"/>
  <c r="F16" i="11"/>
  <c r="B17" i="11"/>
  <c r="B16" i="11"/>
  <c r="H5" i="11"/>
  <c r="F15" i="11"/>
  <c r="C15" i="11"/>
  <c r="B15" i="11"/>
  <c r="E15" i="11"/>
  <c r="C21" i="9"/>
  <c r="C22" i="9" s="1"/>
  <c r="C18" i="9"/>
  <c r="C24" i="9" l="1"/>
  <c r="C25" i="9"/>
  <c r="C26" i="9" s="1"/>
</calcChain>
</file>

<file path=xl/sharedStrings.xml><?xml version="1.0" encoding="utf-8"?>
<sst xmlns="http://schemas.openxmlformats.org/spreadsheetml/2006/main" count="3760" uniqueCount="856">
  <si>
    <t>Order_ID</t>
  </si>
  <si>
    <t>Order_Date</t>
  </si>
  <si>
    <t>Store_Name</t>
  </si>
  <si>
    <t>City</t>
  </si>
  <si>
    <t>Category</t>
  </si>
  <si>
    <t>Product_Name</t>
  </si>
  <si>
    <t>Customer_ID</t>
  </si>
  <si>
    <t>Customer_Type</t>
  </si>
  <si>
    <t>Quantity</t>
  </si>
  <si>
    <t>Unit_Price</t>
  </si>
  <si>
    <t>Discount_%</t>
  </si>
  <si>
    <t>Revenue</t>
  </si>
  <si>
    <t>COGS</t>
  </si>
  <si>
    <t>Profit</t>
  </si>
  <si>
    <t>ORD0249</t>
  </si>
  <si>
    <t>Mumbai Central</t>
  </si>
  <si>
    <t>Mumbai</t>
  </si>
  <si>
    <t>Groceries</t>
  </si>
  <si>
    <t>Mixed Nuts 250g</t>
  </si>
  <si>
    <t>CUST0140</t>
  </si>
  <si>
    <t>Returning</t>
  </si>
  <si>
    <t>ORD0230</t>
  </si>
  <si>
    <t>Aurangabad Square</t>
  </si>
  <si>
    <t>Aurangabad</t>
  </si>
  <si>
    <t>Clothing</t>
  </si>
  <si>
    <t>Formal Shirt</t>
  </si>
  <si>
    <t>CUST0122</t>
  </si>
  <si>
    <t>ORD0426</t>
  </si>
  <si>
    <t>Nashik Point</t>
  </si>
  <si>
    <t>Nashik</t>
  </si>
  <si>
    <t>Amul Butter 500g</t>
  </si>
  <si>
    <t>CUST0044</t>
  </si>
  <si>
    <t>ORD0471</t>
  </si>
  <si>
    <t>Nagpur Hub</t>
  </si>
  <si>
    <t>Nagpur</t>
  </si>
  <si>
    <t>Home &amp; Kitchen</t>
  </si>
  <si>
    <t>Chopping Board</t>
  </si>
  <si>
    <t>CUST0083</t>
  </si>
  <si>
    <t>ORD0491</t>
  </si>
  <si>
    <t>Cotton Saree</t>
  </si>
  <si>
    <t>CUST0165</t>
  </si>
  <si>
    <t>ORD0033</t>
  </si>
  <si>
    <t>Electronics</t>
  </si>
  <si>
    <t>Smart Watch</t>
  </si>
  <si>
    <t>CUST0130</t>
  </si>
  <si>
    <t>New</t>
  </si>
  <si>
    <t>ORD0328</t>
  </si>
  <si>
    <t>Power Bank 20000mAh</t>
  </si>
  <si>
    <t>CUST0123</t>
  </si>
  <si>
    <t>ORD0285</t>
  </si>
  <si>
    <t>Water Bottle 1L</t>
  </si>
  <si>
    <t>CUST0186</t>
  </si>
  <si>
    <t>Loyal</t>
  </si>
  <si>
    <t>ORD0447</t>
  </si>
  <si>
    <t>Sports Shorts</t>
  </si>
  <si>
    <t>CUST0177</t>
  </si>
  <si>
    <t>ORD0060</t>
  </si>
  <si>
    <t>Pressure Cooker 3L</t>
  </si>
  <si>
    <t>CUST0091</t>
  </si>
  <si>
    <t>ORD0181</t>
  </si>
  <si>
    <t>Non-stick Pan</t>
  </si>
  <si>
    <t>CUST0096</t>
  </si>
  <si>
    <t>ORD0364</t>
  </si>
  <si>
    <t>Winter Jacket</t>
  </si>
  <si>
    <t>CUST0024</t>
  </si>
  <si>
    <t>ORD0432</t>
  </si>
  <si>
    <t>Women's Kurta</t>
  </si>
  <si>
    <t>CUST0167</t>
  </si>
  <si>
    <t>ORD0198</t>
  </si>
  <si>
    <t>CUST0142</t>
  </si>
  <si>
    <t>ORD0099</t>
  </si>
  <si>
    <t>Jeans Slim Fit</t>
  </si>
  <si>
    <t>CUST0004</t>
  </si>
  <si>
    <t>ORD0411</t>
  </si>
  <si>
    <t>Bluetooth Speaker</t>
  </si>
  <si>
    <t>CUST0200</t>
  </si>
  <si>
    <t>ORD0366</t>
  </si>
  <si>
    <t>CUST0048</t>
  </si>
  <si>
    <t>ORD0192</t>
  </si>
  <si>
    <t>ORD0118</t>
  </si>
  <si>
    <t>Sunflower Oil 1L</t>
  </si>
  <si>
    <t>CUST0076</t>
  </si>
  <si>
    <t>ORD0367</t>
  </si>
  <si>
    <t>Kids Hoodie</t>
  </si>
  <si>
    <t>CUST0141</t>
  </si>
  <si>
    <t>ORD0419</t>
  </si>
  <si>
    <t>CUST0057</t>
  </si>
  <si>
    <t>ORD0040</t>
  </si>
  <si>
    <t>ORD0159</t>
  </si>
  <si>
    <t>CUST0129</t>
  </si>
  <si>
    <t>ORD0134</t>
  </si>
  <si>
    <t>CUST0008</t>
  </si>
  <si>
    <t>ORD0216</t>
  </si>
  <si>
    <t>CUST0133</t>
  </si>
  <si>
    <t>ORD0116</t>
  </si>
  <si>
    <t>Storage Containers x3</t>
  </si>
  <si>
    <t>CUST0059</t>
  </si>
  <si>
    <t>ORD0209</t>
  </si>
  <si>
    <t>CUST0041</t>
  </si>
  <si>
    <t>ORD0408</t>
  </si>
  <si>
    <t>CUST0119</t>
  </si>
  <si>
    <t>ORD0141</t>
  </si>
  <si>
    <t>Green Tea 25 bags</t>
  </si>
  <si>
    <t>ORD0279</t>
  </si>
  <si>
    <t>Dinner Set 12pc</t>
  </si>
  <si>
    <t>CUST0088</t>
  </si>
  <si>
    <t>ORD0372</t>
  </si>
  <si>
    <t>Pune West</t>
  </si>
  <si>
    <t>Pune</t>
  </si>
  <si>
    <t>Mop Set</t>
  </si>
  <si>
    <t>CUST0045</t>
  </si>
  <si>
    <t>ORD0406</t>
  </si>
  <si>
    <t>ORD0086</t>
  </si>
  <si>
    <t>USB-C Hub</t>
  </si>
  <si>
    <t>CUST0068</t>
  </si>
  <si>
    <t>ORD0140</t>
  </si>
  <si>
    <t>Toor Dal 1kg</t>
  </si>
  <si>
    <t>CUST0171</t>
  </si>
  <si>
    <t>ORD0376</t>
  </si>
  <si>
    <t>CUST0135</t>
  </si>
  <si>
    <t>ORD0029</t>
  </si>
  <si>
    <t>Wireless Earbuds</t>
  </si>
  <si>
    <t>ORD0128</t>
  </si>
  <si>
    <t>CUST0117</t>
  </si>
  <si>
    <t>ORD0466</t>
  </si>
  <si>
    <t>Men's Polo T-Shirt</t>
  </si>
  <si>
    <t>CUST0116</t>
  </si>
  <si>
    <t>ORD0133</t>
  </si>
  <si>
    <t>CUST0028</t>
  </si>
  <si>
    <t>ORD0139</t>
  </si>
  <si>
    <t>CUST0191</t>
  </si>
  <si>
    <t>ORD0066</t>
  </si>
  <si>
    <t>CUST0006</t>
  </si>
  <si>
    <t>ORD0021</t>
  </si>
  <si>
    <t>CUST0085</t>
  </si>
  <si>
    <t>ORD0200</t>
  </si>
  <si>
    <t>ORD0107</t>
  </si>
  <si>
    <t>CUST0102</t>
  </si>
  <si>
    <t>ORD0276</t>
  </si>
  <si>
    <t>CUST0081</t>
  </si>
  <si>
    <t>ORD0348</t>
  </si>
  <si>
    <t>CUST0014</t>
  </si>
  <si>
    <t>ORD0153</t>
  </si>
  <si>
    <t>ORD0272</t>
  </si>
  <si>
    <t>CUST0179</t>
  </si>
  <si>
    <t>ORD0339</t>
  </si>
  <si>
    <t>CUST0101</t>
  </si>
  <si>
    <t>ORD0058</t>
  </si>
  <si>
    <t>CUST0040</t>
  </si>
  <si>
    <t>ORD0486</t>
  </si>
  <si>
    <t>CUST0166</t>
  </si>
  <si>
    <t>ORD0002</t>
  </si>
  <si>
    <t>CUST0056</t>
  </si>
  <si>
    <t>ORD0073</t>
  </si>
  <si>
    <t>CUST0146</t>
  </si>
  <si>
    <t>ORD0196</t>
  </si>
  <si>
    <t>CUST0075</t>
  </si>
  <si>
    <t>ORD0480</t>
  </si>
  <si>
    <t>CUST0143</t>
  </si>
  <si>
    <t>ORD0096</t>
  </si>
  <si>
    <t>CUST0198</t>
  </si>
  <si>
    <t>ORD0145</t>
  </si>
  <si>
    <t>ORD0211</t>
  </si>
  <si>
    <t>ORD0259</t>
  </si>
  <si>
    <t>CUST0173</t>
  </si>
  <si>
    <t>ORD0354</t>
  </si>
  <si>
    <t>ORD0327</t>
  </si>
  <si>
    <t>CUST0152</t>
  </si>
  <si>
    <t>ORD0355</t>
  </si>
  <si>
    <t>ORD0024</t>
  </si>
  <si>
    <t>ORD0026</t>
  </si>
  <si>
    <t>CUST0061</t>
  </si>
  <si>
    <t>ORD0137</t>
  </si>
  <si>
    <t>ORD0106</t>
  </si>
  <si>
    <t>Webcam HD</t>
  </si>
  <si>
    <t>CUST0037</t>
  </si>
  <si>
    <t>ORD0082</t>
  </si>
  <si>
    <t>ORD0305</t>
  </si>
  <si>
    <t>CUST0118</t>
  </si>
  <si>
    <t>ORD0329</t>
  </si>
  <si>
    <t>CUST0036</t>
  </si>
  <si>
    <t>ORD0479</t>
  </si>
  <si>
    <t>Steel Casserole</t>
  </si>
  <si>
    <t>ORD0271</t>
  </si>
  <si>
    <t>ORD0358</t>
  </si>
  <si>
    <t>CUST0031</t>
  </si>
  <si>
    <t>ORD0142</t>
  </si>
  <si>
    <t>CUST0147</t>
  </si>
  <si>
    <t>ORD0302</t>
  </si>
  <si>
    <t>ORD0383</t>
  </si>
  <si>
    <t>CUST0108</t>
  </si>
  <si>
    <t>ORD0148</t>
  </si>
  <si>
    <t>ORD0068</t>
  </si>
  <si>
    <t>CUST0080</t>
  </si>
  <si>
    <t>ORD0083</t>
  </si>
  <si>
    <t>CUST0162</t>
  </si>
  <si>
    <t>ORD0124</t>
  </si>
  <si>
    <t>CUST0127</t>
  </si>
  <si>
    <t>ORD0341</t>
  </si>
  <si>
    <t>Phone Stand</t>
  </si>
  <si>
    <t>CUST0169</t>
  </si>
  <si>
    <t>ORD0346</t>
  </si>
  <si>
    <t>ORD0020</t>
  </si>
  <si>
    <t>CUST0151</t>
  </si>
  <si>
    <t>ORD0365</t>
  </si>
  <si>
    <t>ORD0048</t>
  </si>
  <si>
    <t>Instant Noodles x5</t>
  </si>
  <si>
    <t>ORD0186</t>
  </si>
  <si>
    <t>CUST0099</t>
  </si>
  <si>
    <t>ORD0018</t>
  </si>
  <si>
    <t>CUST0156</t>
  </si>
  <si>
    <t>ORD0081</t>
  </si>
  <si>
    <t>ORD0038</t>
  </si>
  <si>
    <t>CUST0110</t>
  </si>
  <si>
    <t>ORD0150</t>
  </si>
  <si>
    <t>CUST0190</t>
  </si>
  <si>
    <t>ORD0208</t>
  </si>
  <si>
    <t>LED Desk Lamp</t>
  </si>
  <si>
    <t>CUST0032</t>
  </si>
  <si>
    <t>ORD0363</t>
  </si>
  <si>
    <t>ORD0427</t>
  </si>
  <si>
    <t>ORD0446</t>
  </si>
  <si>
    <t>CUST0113</t>
  </si>
  <si>
    <t>ORD0119</t>
  </si>
  <si>
    <t>Biscuits Pack</t>
  </si>
  <si>
    <t>CUST0066</t>
  </si>
  <si>
    <t>ORD0325</t>
  </si>
  <si>
    <t>CUST0093</t>
  </si>
  <si>
    <t>ORD0413</t>
  </si>
  <si>
    <t>CUST0079</t>
  </si>
  <si>
    <t>ORD0463</t>
  </si>
  <si>
    <t>CUST0144</t>
  </si>
  <si>
    <t>ORD0125</t>
  </si>
  <si>
    <t>ORD0012</t>
  </si>
  <si>
    <t>CUST0029</t>
  </si>
  <si>
    <t>ORD0342</t>
  </si>
  <si>
    <t>CUST0134</t>
  </si>
  <si>
    <t>ORD0368</t>
  </si>
  <si>
    <t>ORD0436</t>
  </si>
  <si>
    <t>ORD0025</t>
  </si>
  <si>
    <t>CUST0020</t>
  </si>
  <si>
    <t>ORD0217</t>
  </si>
  <si>
    <t>CUST0158</t>
  </si>
  <si>
    <t>ORD0253</t>
  </si>
  <si>
    <t>CUST0188</t>
  </si>
  <si>
    <t>ORD0308</t>
  </si>
  <si>
    <t>CUST0148</t>
  </si>
  <si>
    <t>ORD0425</t>
  </si>
  <si>
    <t>ORD0131</t>
  </si>
  <si>
    <t>CUST0007</t>
  </si>
  <si>
    <t>ORD0264</t>
  </si>
  <si>
    <t>CUST0051</t>
  </si>
  <si>
    <t>ORD0052</t>
  </si>
  <si>
    <t>CUST0157</t>
  </si>
  <si>
    <t>ORD0398</t>
  </si>
  <si>
    <t>CUST0018</t>
  </si>
  <si>
    <t>ORD0039</t>
  </si>
  <si>
    <t>CUST0038</t>
  </si>
  <si>
    <t>ORD0243</t>
  </si>
  <si>
    <t>CUST0053</t>
  </si>
  <si>
    <t>ORD0347</t>
  </si>
  <si>
    <t>CUST0064</t>
  </si>
  <si>
    <t>ORD0331</t>
  </si>
  <si>
    <t>CUST0026</t>
  </si>
  <si>
    <t>ORD0016</t>
  </si>
  <si>
    <t>CUST0126</t>
  </si>
  <si>
    <t>ORD0389</t>
  </si>
  <si>
    <t>Basmati Rice 5kg</t>
  </si>
  <si>
    <t>ORD0126</t>
  </si>
  <si>
    <t>CUST0072</t>
  </si>
  <si>
    <t>ORD0161</t>
  </si>
  <si>
    <t>CUST0199</t>
  </si>
  <si>
    <t>ORD0235</t>
  </si>
  <si>
    <t>CUST0087</t>
  </si>
  <si>
    <t>ORD0326</t>
  </si>
  <si>
    <t>CUST0194</t>
  </si>
  <si>
    <t>ORD0110</t>
  </si>
  <si>
    <t>CUST0015</t>
  </si>
  <si>
    <t>ORD0287</t>
  </si>
  <si>
    <t>ORD0343</t>
  </si>
  <si>
    <t>ORD0382</t>
  </si>
  <si>
    <t>CUST0054</t>
  </si>
  <si>
    <t>ORD0478</t>
  </si>
  <si>
    <t>ORD0051</t>
  </si>
  <si>
    <t>CUST0193</t>
  </si>
  <si>
    <t>ORD0152</t>
  </si>
  <si>
    <t>ORD0274</t>
  </si>
  <si>
    <t>ORD0232</t>
  </si>
  <si>
    <t>ORD0236</t>
  </si>
  <si>
    <t>CUST0023</t>
  </si>
  <si>
    <t>ORD0168</t>
  </si>
  <si>
    <t>CUST0094</t>
  </si>
  <si>
    <t>ORD0260</t>
  </si>
  <si>
    <t>CUST0086</t>
  </si>
  <si>
    <t>ORD0117</t>
  </si>
  <si>
    <t>CUST0161</t>
  </si>
  <si>
    <t>ORD0261</t>
  </si>
  <si>
    <t>CUST0181</t>
  </si>
  <si>
    <t>ORD0397</t>
  </si>
  <si>
    <t>CUST0175</t>
  </si>
  <si>
    <t>ORD0351</t>
  </si>
  <si>
    <t>CUST0105</t>
  </si>
  <si>
    <t>ORD0003</t>
  </si>
  <si>
    <t>ORD0089</t>
  </si>
  <si>
    <t>CUST0069</t>
  </si>
  <si>
    <t>ORD0171</t>
  </si>
  <si>
    <t>CUST0124</t>
  </si>
  <si>
    <t>ORD0390</t>
  </si>
  <si>
    <t>ORD0032</t>
  </si>
  <si>
    <t>CUST0172</t>
  </si>
  <si>
    <t>ORD0207</t>
  </si>
  <si>
    <t>CUST0082</t>
  </si>
  <si>
    <t>ORD0222</t>
  </si>
  <si>
    <t>ORD0353</t>
  </si>
  <si>
    <t>CUST0016</t>
  </si>
  <si>
    <t>ORD0453</t>
  </si>
  <si>
    <t>CUST0058</t>
  </si>
  <si>
    <t>ORD0130</t>
  </si>
  <si>
    <t>ORD0010</t>
  </si>
  <si>
    <t>ORD0064</t>
  </si>
  <si>
    <t>CUST0098</t>
  </si>
  <si>
    <t>ORD0043</t>
  </si>
  <si>
    <t>ORD0240</t>
  </si>
  <si>
    <t>CUST0192</t>
  </si>
  <si>
    <t>ORD0487</t>
  </si>
  <si>
    <t>ORD0379</t>
  </si>
  <si>
    <t>ORD0202</t>
  </si>
  <si>
    <t>CUST0163</t>
  </si>
  <si>
    <t>ORD0412</t>
  </si>
  <si>
    <t>ORD0469</t>
  </si>
  <si>
    <t>CUST0046</t>
  </si>
  <si>
    <t>ORD0220</t>
  </si>
  <si>
    <t>CUST0185</t>
  </si>
  <si>
    <t>ORD0394</t>
  </si>
  <si>
    <t>ORD0007</t>
  </si>
  <si>
    <t>ORD0174</t>
  </si>
  <si>
    <t>ORD0356</t>
  </si>
  <si>
    <t>ORD0017</t>
  </si>
  <si>
    <t>CUST0125</t>
  </si>
  <si>
    <t>ORD0112</t>
  </si>
  <si>
    <t>ORD0257</t>
  </si>
  <si>
    <t>ORD0034</t>
  </si>
  <si>
    <t>ORD0111</t>
  </si>
  <si>
    <t>CUST0021</t>
  </si>
  <si>
    <t>ORD0206</t>
  </si>
  <si>
    <t>ORD0031</t>
  </si>
  <si>
    <t>CUST0150</t>
  </si>
  <si>
    <t>ORD0250</t>
  </si>
  <si>
    <t>ORD0296</t>
  </si>
  <si>
    <t>ORD0319</t>
  </si>
  <si>
    <t>CUST0174</t>
  </si>
  <si>
    <t>ORD0448</t>
  </si>
  <si>
    <t>ORD0092</t>
  </si>
  <si>
    <t>ORD0065</t>
  </si>
  <si>
    <t>ORD0433</t>
  </si>
  <si>
    <t>CUST0168</t>
  </si>
  <si>
    <t>ORD0155</t>
  </si>
  <si>
    <t>ORD0421</t>
  </si>
  <si>
    <t>ORD0015</t>
  </si>
  <si>
    <t>CUST0077</t>
  </si>
  <si>
    <t>ORD0337</t>
  </si>
  <si>
    <t>ORD0011</t>
  </si>
  <si>
    <t>ORD0008</t>
  </si>
  <si>
    <t>ORD0093</t>
  </si>
  <si>
    <t>ORD0282</t>
  </si>
  <si>
    <t>ORD0320</t>
  </si>
  <si>
    <t>CUST0197</t>
  </si>
  <si>
    <t>ORD0403</t>
  </si>
  <si>
    <t>CUST0078</t>
  </si>
  <si>
    <t>ORD0228</t>
  </si>
  <si>
    <t>ORD0344</t>
  </si>
  <si>
    <t>ORD0136</t>
  </si>
  <si>
    <t>CUST0136</t>
  </si>
  <si>
    <t>ORD0190</t>
  </si>
  <si>
    <t>ORD0270</t>
  </si>
  <si>
    <t>ORD0075</t>
  </si>
  <si>
    <t>ORD0102</t>
  </si>
  <si>
    <t>CUST0073</t>
  </si>
  <si>
    <t>ORD0450</t>
  </si>
  <si>
    <t>ORD0323</t>
  </si>
  <si>
    <t>ORD0028</t>
  </si>
  <si>
    <t>ORD0195</t>
  </si>
  <si>
    <t>CUST0019</t>
  </si>
  <si>
    <t>ORD0088</t>
  </si>
  <si>
    <t>ORD0109</t>
  </si>
  <si>
    <t>CUST0195</t>
  </si>
  <si>
    <t>ORD0113</t>
  </si>
  <si>
    <t>CUST0089</t>
  </si>
  <si>
    <t>ORD0225</t>
  </si>
  <si>
    <t>ORD0226</t>
  </si>
  <si>
    <t>ORD0233</t>
  </si>
  <si>
    <t>ORD0312</t>
  </si>
  <si>
    <t>ORD0184</t>
  </si>
  <si>
    <t>ORD0461</t>
  </si>
  <si>
    <t>CUST0180</t>
  </si>
  <si>
    <t>ORD0440</t>
  </si>
  <si>
    <t>ORD0424</t>
  </si>
  <si>
    <t>CUST0052</t>
  </si>
  <si>
    <t>ORD0430</t>
  </si>
  <si>
    <t>CUST0176</t>
  </si>
  <si>
    <t>ORD0149</t>
  </si>
  <si>
    <t>ORD0238</t>
  </si>
  <si>
    <t>CUST0178</t>
  </si>
  <si>
    <t>ORD0084</t>
  </si>
  <si>
    <t>CUST0107</t>
  </si>
  <si>
    <t>ORD0203</t>
  </si>
  <si>
    <t>CUST0149</t>
  </si>
  <si>
    <t>ORD0077</t>
  </si>
  <si>
    <t>ORD0090</t>
  </si>
  <si>
    <t>ORD0239</t>
  </si>
  <si>
    <t>CUST0164</t>
  </si>
  <si>
    <t>ORD0245</t>
  </si>
  <si>
    <t>ORD0391</t>
  </si>
  <si>
    <t>ORD0199</t>
  </si>
  <si>
    <t>ORD0046</t>
  </si>
  <si>
    <t>CUST0049</t>
  </si>
  <si>
    <t>ORD0151</t>
  </si>
  <si>
    <t>ORD0210</t>
  </si>
  <si>
    <t>CUST0120</t>
  </si>
  <si>
    <t>ORD0370</t>
  </si>
  <si>
    <t>ORD0231</t>
  </si>
  <si>
    <t>CUST0060</t>
  </si>
  <si>
    <t>ORD0254</t>
  </si>
  <si>
    <t>ORD0262</t>
  </si>
  <si>
    <t>CUST0092</t>
  </si>
  <si>
    <t>ORD0460</t>
  </si>
  <si>
    <t>ORD0500</t>
  </si>
  <si>
    <t>ORD0399</t>
  </si>
  <si>
    <t>CUST0160</t>
  </si>
  <si>
    <t>ORD0417</t>
  </si>
  <si>
    <t>ORD0123</t>
  </si>
  <si>
    <t>ORD0044</t>
  </si>
  <si>
    <t>CUST0131</t>
  </si>
  <si>
    <t>ORD0095</t>
  </si>
  <si>
    <t>CUST0103</t>
  </si>
  <si>
    <t>ORD0045</t>
  </si>
  <si>
    <t>ORD0059</t>
  </si>
  <si>
    <t>ORD0489</t>
  </si>
  <si>
    <t>CUST0159</t>
  </si>
  <si>
    <t>ORD0042</t>
  </si>
  <si>
    <t>ORD0175</t>
  </si>
  <si>
    <t>CUST0121</t>
  </si>
  <si>
    <t>ORD0120</t>
  </si>
  <si>
    <t>ORD0457</t>
  </si>
  <si>
    <t>ORD0166</t>
  </si>
  <si>
    <t>ORD0160</t>
  </si>
  <si>
    <t>ORD0443</t>
  </si>
  <si>
    <t>ORD0182</t>
  </si>
  <si>
    <t>ORD0246</t>
  </si>
  <si>
    <t>ORD0299</t>
  </si>
  <si>
    <t>CUST0022</t>
  </si>
  <si>
    <t>ORD0401</t>
  </si>
  <si>
    <t>ORD0429</t>
  </si>
  <si>
    <t>ORD0300</t>
  </si>
  <si>
    <t>ORD0144</t>
  </si>
  <si>
    <t>ORD0317</t>
  </si>
  <si>
    <t>ORD0078</t>
  </si>
  <si>
    <t>ORD0005</t>
  </si>
  <si>
    <t>CUST0138</t>
  </si>
  <si>
    <t>ORD0310</t>
  </si>
  <si>
    <t>ORD0369</t>
  </si>
  <si>
    <t>ORD0431</t>
  </si>
  <si>
    <t>ORD0345</t>
  </si>
  <si>
    <t>ORD0158</t>
  </si>
  <si>
    <t>ORD0170</t>
  </si>
  <si>
    <t>ORD0350</t>
  </si>
  <si>
    <t>CUST0063</t>
  </si>
  <si>
    <t>ORD0392</t>
  </si>
  <si>
    <t>ORD0428</t>
  </si>
  <si>
    <t>CUST0002</t>
  </si>
  <si>
    <t>ORD0477</t>
  </si>
  <si>
    <t>ORD0386</t>
  </si>
  <si>
    <t>ORD0384</t>
  </si>
  <si>
    <t>ORD0289</t>
  </si>
  <si>
    <t>ORD0256</t>
  </si>
  <si>
    <t>ORD0332</t>
  </si>
  <si>
    <t>ORD0214</t>
  </si>
  <si>
    <t>ORD0468</t>
  </si>
  <si>
    <t>CUST0065</t>
  </si>
  <si>
    <t>ORD0496</t>
  </si>
  <si>
    <t>ORD0215</t>
  </si>
  <si>
    <t>ORD0361</t>
  </si>
  <si>
    <t>ORD0069</t>
  </si>
  <si>
    <t>ORD0280</t>
  </si>
  <si>
    <t>ORD0415</t>
  </si>
  <si>
    <t>CUST0170</t>
  </si>
  <si>
    <t>ORD0027</t>
  </si>
  <si>
    <t>CUST0100</t>
  </si>
  <si>
    <t>ORD0349</t>
  </si>
  <si>
    <t>ORD0213</t>
  </si>
  <si>
    <t>ORD0402</t>
  </si>
  <si>
    <t>ORD0418</t>
  </si>
  <si>
    <t>ORD0303</t>
  </si>
  <si>
    <t>CUST0189</t>
  </si>
  <si>
    <t>ORD0284</t>
  </si>
  <si>
    <t>ORD0481</t>
  </si>
  <si>
    <t>CUST0005</t>
  </si>
  <si>
    <t>ORD0311</t>
  </si>
  <si>
    <t>ORD0456</t>
  </si>
  <si>
    <t>ORD0452</t>
  </si>
  <si>
    <t>ORD0138</t>
  </si>
  <si>
    <t>ORD0338</t>
  </si>
  <si>
    <t>ORD0400</t>
  </si>
  <si>
    <t>CUST0145</t>
  </si>
  <si>
    <t>ORD0405</t>
  </si>
  <si>
    <t>ORD0434</t>
  </si>
  <si>
    <t>ORD0445</t>
  </si>
  <si>
    <t>ORD0251</t>
  </si>
  <si>
    <t>ORD0295</t>
  </si>
  <si>
    <t>ORD0336</t>
  </si>
  <si>
    <t>ORD0422</t>
  </si>
  <si>
    <t>ORD0444</t>
  </si>
  <si>
    <t>ORD0013</t>
  </si>
  <si>
    <t>ORD0294</t>
  </si>
  <si>
    <t>ORD0414</t>
  </si>
  <si>
    <t>ORD0054</t>
  </si>
  <si>
    <t>ORD0135</t>
  </si>
  <si>
    <t>ORD0189</t>
  </si>
  <si>
    <t>CUST0187</t>
  </si>
  <si>
    <t>ORD0304</t>
  </si>
  <si>
    <t>ORD0297</t>
  </si>
  <si>
    <t>ORD0201</t>
  </si>
  <si>
    <t>ORD0281</t>
  </si>
  <si>
    <t>ORD0094</t>
  </si>
  <si>
    <t>ORD0173</t>
  </si>
  <si>
    <t>ORD0314</t>
  </si>
  <si>
    <t>ORD0098</t>
  </si>
  <si>
    <t>CUST0074</t>
  </si>
  <si>
    <t>ORD0147</t>
  </si>
  <si>
    <t>ORD0157</t>
  </si>
  <si>
    <t>ORD0127</t>
  </si>
  <si>
    <t>CUST0095</t>
  </si>
  <si>
    <t>ORD0283</t>
  </si>
  <si>
    <t>ORD0056</t>
  </si>
  <si>
    <t>ORD0244</t>
  </si>
  <si>
    <t>ORD0451</t>
  </si>
  <si>
    <t>CUST0128</t>
  </si>
  <si>
    <t>ORD0315</t>
  </si>
  <si>
    <t>ORD0490</t>
  </si>
  <si>
    <t>ORD0357</t>
  </si>
  <si>
    <t>CUST0035</t>
  </si>
  <si>
    <t>ORD0359</t>
  </si>
  <si>
    <t>ORD0385</t>
  </si>
  <si>
    <t>CUST0067</t>
  </si>
  <si>
    <t>ORD0104</t>
  </si>
  <si>
    <t>ORD0322</t>
  </si>
  <si>
    <t>ORD0458</t>
  </si>
  <si>
    <t>ORD0266</t>
  </si>
  <si>
    <t>ORD0324</t>
  </si>
  <si>
    <t>CUST0001</t>
  </si>
  <si>
    <t>ORD0100</t>
  </si>
  <si>
    <t>ORD0488</t>
  </si>
  <si>
    <t>ORD0055</t>
  </si>
  <si>
    <t>ORD0263</t>
  </si>
  <si>
    <t>ORD0176</t>
  </si>
  <si>
    <t>ORD0101</t>
  </si>
  <si>
    <t>CUST0154</t>
  </si>
  <si>
    <t>ORD0105</t>
  </si>
  <si>
    <t>CUST0010</t>
  </si>
  <si>
    <t>ORD0185</t>
  </si>
  <si>
    <t>ORD0484</t>
  </si>
  <si>
    <t>ORD0223</t>
  </si>
  <si>
    <t>ORD0237</t>
  </si>
  <si>
    <t>ORD0375</t>
  </si>
  <si>
    <t>ORD0438</t>
  </si>
  <si>
    <t>ORD0459</t>
  </si>
  <si>
    <t>CUST0033</t>
  </si>
  <si>
    <t>ORD0498</t>
  </si>
  <si>
    <t>ORD0022</t>
  </si>
  <si>
    <t>ORD0057</t>
  </si>
  <si>
    <t>ORD0071</t>
  </si>
  <si>
    <t>ORD0156</t>
  </si>
  <si>
    <t>ORD0439</t>
  </si>
  <si>
    <t>ORD0074</t>
  </si>
  <si>
    <t>ORD0187</t>
  </si>
  <si>
    <t>ORD0194</t>
  </si>
  <si>
    <t>ORD0265</t>
  </si>
  <si>
    <t>ORD0091</t>
  </si>
  <si>
    <t>CUST0011</t>
  </si>
  <si>
    <t>ORD0037</t>
  </si>
  <si>
    <t>CUST0109</t>
  </si>
  <si>
    <t>ORD0167</t>
  </si>
  <si>
    <t>ORD0218</t>
  </si>
  <si>
    <t>ORD0030</t>
  </si>
  <si>
    <t>ORD0334</t>
  </si>
  <si>
    <t>CUST0062</t>
  </si>
  <si>
    <t>ORD0470</t>
  </si>
  <si>
    <t>ORD0047</t>
  </si>
  <si>
    <t>ORD0473</t>
  </si>
  <si>
    <t>CUST0104</t>
  </si>
  <si>
    <t>ORD0072</t>
  </si>
  <si>
    <t>ORD0085</t>
  </si>
  <si>
    <t>ORD0437</t>
  </si>
  <si>
    <t>ORD0035</t>
  </si>
  <si>
    <t>ORD0242</t>
  </si>
  <si>
    <t>ORD0275</t>
  </si>
  <si>
    <t>ORD0306</t>
  </si>
  <si>
    <t>CUST0090</t>
  </si>
  <si>
    <t>ORD0154</t>
  </si>
  <si>
    <t>ORD0193</t>
  </si>
  <si>
    <t>ORD0229</t>
  </si>
  <si>
    <t>ORD0258</t>
  </si>
  <si>
    <t>ORD0371</t>
  </si>
  <si>
    <t>ORD0108</t>
  </si>
  <si>
    <t>ORD0079</t>
  </si>
  <si>
    <t>CUST0071</t>
  </si>
  <si>
    <t>ORD0061</t>
  </si>
  <si>
    <t>CUST0112</t>
  </si>
  <si>
    <t>ORD0309</t>
  </si>
  <si>
    <t>ORD0248</t>
  </si>
  <si>
    <t>ORD0278</t>
  </si>
  <si>
    <t>ORD0374</t>
  </si>
  <si>
    <t>ORD0188</t>
  </si>
  <si>
    <t>ORD0462</t>
  </si>
  <si>
    <t>CUST0183</t>
  </si>
  <si>
    <t>ORD0241</t>
  </si>
  <si>
    <t>CUST0153</t>
  </si>
  <si>
    <t>ORD0313</t>
  </si>
  <si>
    <t>ORD0006</t>
  </si>
  <si>
    <t>CUST0012</t>
  </si>
  <si>
    <t>ORD0087</t>
  </si>
  <si>
    <t>ORD0410</t>
  </si>
  <si>
    <t>ORD0036</t>
  </si>
  <si>
    <t>CUST0184</t>
  </si>
  <si>
    <t>ORD0388</t>
  </si>
  <si>
    <t>CUST0025</t>
  </si>
  <si>
    <t>ORD0362</t>
  </si>
  <si>
    <t>ORD0009</t>
  </si>
  <si>
    <t>CUST0009</t>
  </si>
  <si>
    <t>ORD0121</t>
  </si>
  <si>
    <t>ORD0255</t>
  </si>
  <si>
    <t>CUST0013</t>
  </si>
  <si>
    <t>ORD0467</t>
  </si>
  <si>
    <t>ORD0063</t>
  </si>
  <si>
    <t>ORD0393</t>
  </si>
  <si>
    <t>ORD0070</t>
  </si>
  <si>
    <t>ORD0146</t>
  </si>
  <si>
    <t>ORD0407</t>
  </si>
  <si>
    <t>ORD0115</t>
  </si>
  <si>
    <t>ORD0205</t>
  </si>
  <si>
    <t>ORD0286</t>
  </si>
  <si>
    <t>ORD0396</t>
  </si>
  <si>
    <t>CUST0115</t>
  </si>
  <si>
    <t>ORD0395</t>
  </si>
  <si>
    <t>ORD0179</t>
  </si>
  <si>
    <t>ORD0298</t>
  </si>
  <si>
    <t>ORD0219</t>
  </si>
  <si>
    <t>ORD0423</t>
  </si>
  <si>
    <t>ORD0132</t>
  </si>
  <si>
    <t>ORD0316</t>
  </si>
  <si>
    <t>ORD0495</t>
  </si>
  <si>
    <t>CUST0139</t>
  </si>
  <si>
    <t>ORD0292</t>
  </si>
  <si>
    <t>ORD0080</t>
  </si>
  <si>
    <t>ORD0129</t>
  </si>
  <si>
    <t>ORD0333</t>
  </si>
  <si>
    <t>ORD0454</t>
  </si>
  <si>
    <t>ORD0163</t>
  </si>
  <si>
    <t>ORD0290</t>
  </si>
  <si>
    <t>ORD0204</t>
  </si>
  <si>
    <t>ORD0050</t>
  </si>
  <si>
    <t>CUST0055</t>
  </si>
  <si>
    <t>ORD0177</t>
  </si>
  <si>
    <t>ORD0191</t>
  </si>
  <si>
    <t>ORD0169</t>
  </si>
  <si>
    <t>ORD0472</t>
  </si>
  <si>
    <t>CUST0182</t>
  </si>
  <si>
    <t>ORD0041</t>
  </si>
  <si>
    <t>ORD0143</t>
  </si>
  <si>
    <t>CUST0070</t>
  </si>
  <si>
    <t>ORD0288</t>
  </si>
  <si>
    <t>ORD0494</t>
  </si>
  <si>
    <t>ORD0053</t>
  </si>
  <si>
    <t>ORD0268</t>
  </si>
  <si>
    <t>ORD0435</t>
  </si>
  <si>
    <t>ORD0291</t>
  </si>
  <si>
    <t>ORD0455</t>
  </si>
  <si>
    <t>CUST0043</t>
  </si>
  <si>
    <t>ORD0335</t>
  </si>
  <si>
    <t>ORD0001</t>
  </si>
  <si>
    <t>ORD0178</t>
  </si>
  <si>
    <t>ORD0378</t>
  </si>
  <si>
    <t>ORD0381</t>
  </si>
  <si>
    <t>ORD0234</t>
  </si>
  <si>
    <t>ORD0247</t>
  </si>
  <si>
    <t>CUST0097</t>
  </si>
  <si>
    <t>ORD0267</t>
  </si>
  <si>
    <t>ORD0330</t>
  </si>
  <si>
    <t>ORD0482</t>
  </si>
  <si>
    <t>ORD0449</t>
  </si>
  <si>
    <t>ORD0493</t>
  </si>
  <si>
    <t>ORD0162</t>
  </si>
  <si>
    <t>ORD0416</t>
  </si>
  <si>
    <t>ORD0475</t>
  </si>
  <si>
    <t>ORD0212</t>
  </si>
  <si>
    <t>CUST0111</t>
  </si>
  <si>
    <t>ORD0273</t>
  </si>
  <si>
    <t>ORD0387</t>
  </si>
  <si>
    <t>ORD0097</t>
  </si>
  <si>
    <t>ORD0023</t>
  </si>
  <si>
    <t>ORD0103</t>
  </si>
  <si>
    <t>ORD0442</t>
  </si>
  <si>
    <t>ORD0474</t>
  </si>
  <si>
    <t>ORD0497</t>
  </si>
  <si>
    <t>ORD0049</t>
  </si>
  <si>
    <t>ORD0180</t>
  </si>
  <si>
    <t>ORD0269</t>
  </si>
  <si>
    <t>CUST0137</t>
  </si>
  <si>
    <t>ORD0067</t>
  </si>
  <si>
    <t>ORD0499</t>
  </si>
  <si>
    <t>ORD0165</t>
  </si>
  <si>
    <t>ORD0420</t>
  </si>
  <si>
    <t>ORD0465</t>
  </si>
  <si>
    <t>CUST0042</t>
  </si>
  <si>
    <t>ORD0122</t>
  </si>
  <si>
    <t>ORD0307</t>
  </si>
  <si>
    <t>ORD0224</t>
  </si>
  <si>
    <t>ORD0441</t>
  </si>
  <si>
    <t>ORD0485</t>
  </si>
  <si>
    <t>ORD0062</t>
  </si>
  <si>
    <t>ORD0318</t>
  </si>
  <si>
    <t>ORD0492</t>
  </si>
  <si>
    <t>ORD0014</t>
  </si>
  <si>
    <t>ORD0221</t>
  </si>
  <si>
    <t>ORD0340</t>
  </si>
  <si>
    <t>ORD0409</t>
  </si>
  <si>
    <t>ORD0476</t>
  </si>
  <si>
    <t>ORD0183</t>
  </si>
  <si>
    <t>CUST0017</t>
  </si>
  <si>
    <t>ORD0404</t>
  </si>
  <si>
    <t>ORD0483</t>
  </si>
  <si>
    <t>ORD0019</t>
  </si>
  <si>
    <t>ORD0076</t>
  </si>
  <si>
    <t>ORD0114</t>
  </si>
  <si>
    <t>ORD0293</t>
  </si>
  <si>
    <t>ORD0321</t>
  </si>
  <si>
    <t>ORD0352</t>
  </si>
  <si>
    <t>ORD0301</t>
  </si>
  <si>
    <t>ORD0360</t>
  </si>
  <si>
    <t>CUST0084</t>
  </si>
  <si>
    <t>ORD0004</t>
  </si>
  <si>
    <t>CUST0196</t>
  </si>
  <si>
    <t>ORD0164</t>
  </si>
  <si>
    <t>ORD0373</t>
  </si>
  <si>
    <t>ORD0380</t>
  </si>
  <si>
    <t>ORD0252</t>
  </si>
  <si>
    <t>ORD0377</t>
  </si>
  <si>
    <t>ORD0197</t>
  </si>
  <si>
    <t>ORD0464</t>
  </si>
  <si>
    <t>ORD0172</t>
  </si>
  <si>
    <t>ORD0277</t>
  </si>
  <si>
    <t>ORD0227</t>
  </si>
  <si>
    <t>Row Labels</t>
  </si>
  <si>
    <t>Grand Total</t>
  </si>
  <si>
    <t>Jan</t>
  </si>
  <si>
    <t>Feb</t>
  </si>
  <si>
    <t>Mar</t>
  </si>
  <si>
    <t>Apr</t>
  </si>
  <si>
    <t>May</t>
  </si>
  <si>
    <t>Jun</t>
  </si>
  <si>
    <t>Jul</t>
  </si>
  <si>
    <t>Aug</t>
  </si>
  <si>
    <t>Sep</t>
  </si>
  <si>
    <t>Oct</t>
  </si>
  <si>
    <t>Nov</t>
  </si>
  <si>
    <t>Dec</t>
  </si>
  <si>
    <t>Sum of Revenue</t>
  </si>
  <si>
    <t>Sum of Profit</t>
  </si>
  <si>
    <t>Sum of Quantity</t>
  </si>
  <si>
    <t>Monthly Revenun</t>
  </si>
  <si>
    <t>Sales By Store &amp; City</t>
  </si>
  <si>
    <t>Category Breakdown</t>
  </si>
  <si>
    <t>Top Products</t>
  </si>
  <si>
    <t>City Smart Retail Co.</t>
  </si>
  <si>
    <t>Executive Performance Dashboard — 2024</t>
  </si>
  <si>
    <t>TOTAL PROFIT</t>
  </si>
  <si>
    <t>TOTAL ORDERS</t>
  </si>
  <si>
    <t>TOTAL REVENUE</t>
  </si>
  <si>
    <t>AVG ORDER VALUE</t>
  </si>
  <si>
    <t>TOP STORE</t>
  </si>
  <si>
    <t>TOP CATEGORY</t>
  </si>
  <si>
    <t>Sales Analysis — 2024</t>
  </si>
  <si>
    <t>Monthly trends, store performance &amp; product rankings</t>
  </si>
  <si>
    <t>Month</t>
  </si>
  <si>
    <t>MoM Growth %</t>
  </si>
  <si>
    <t>Store Name</t>
  </si>
  <si>
    <t>Profit Margin %</t>
  </si>
  <si>
    <t>Rank</t>
  </si>
  <si>
    <t>Customer Insights — 2024</t>
  </si>
  <si>
    <t>RFM Analysis · Loyalty Breakdown · Basket Size</t>
  </si>
  <si>
    <t>Customer Type</t>
  </si>
  <si>
    <t>Total Orders</t>
  </si>
  <si>
    <t>Total Revenue</t>
  </si>
  <si>
    <t>Avg Order Value</t>
  </si>
  <si>
    <t>Avg Quantit</t>
  </si>
  <si>
    <t>RFM Score Card</t>
  </si>
  <si>
    <t>Metric</t>
  </si>
  <si>
    <t>Recency Score</t>
  </si>
  <si>
    <t>Frequency Score</t>
  </si>
  <si>
    <t>netary Score</t>
  </si>
  <si>
    <t>Category preference per Customer Type</t>
  </si>
  <si>
    <t>Inventory Health Tracker — 2024</t>
  </si>
  <si>
    <t>Stock levels · Reorder alerts · Slow mover flags</t>
  </si>
  <si>
    <t>Total_Sold</t>
  </si>
  <si>
    <t>Current_Stock</t>
  </si>
  <si>
    <t>Reorder_Point</t>
  </si>
  <si>
    <t>Days_of_Supply</t>
  </si>
  <si>
    <t>Status</t>
  </si>
  <si>
    <t>Stock_Value</t>
  </si>
  <si>
    <t>Slow_Mover</t>
  </si>
  <si>
    <t>Action_Required</t>
  </si>
  <si>
    <t>Total Stock Value</t>
  </si>
  <si>
    <t>Critical Items</t>
  </si>
  <si>
    <t>Out of Stock</t>
  </si>
  <si>
    <t>Slow Movers</t>
  </si>
  <si>
    <t>Profit &amp; Loss Statement — 2024</t>
  </si>
  <si>
    <t>Change assumptions in Column C to see live P&amp;L update</t>
  </si>
  <si>
    <t>ASSUMPTIONS</t>
  </si>
  <si>
    <t>COGS %</t>
  </si>
  <si>
    <t>Operating Expense %</t>
  </si>
  <si>
    <t>Tax Rate %</t>
  </si>
  <si>
    <t>Discount Impact %</t>
  </si>
  <si>
    <t>Target Net Profit</t>
  </si>
  <si>
    <t>P&amp;L STATEMENT</t>
  </si>
  <si>
    <t>Gross Revenue</t>
  </si>
  <si>
    <t>Less: Discount</t>
  </si>
  <si>
    <t>Net Revenue</t>
  </si>
  <si>
    <t>Less: COGS</t>
  </si>
  <si>
    <t>Gross Profit</t>
  </si>
  <si>
    <t>Gross Margin %</t>
  </si>
  <si>
    <t>Operating Expenses</t>
  </si>
  <si>
    <t>EBITDA</t>
  </si>
  <si>
    <t>Tax</t>
  </si>
  <si>
    <t>Net Profit</t>
  </si>
  <si>
    <t>Net Margin %</t>
  </si>
  <si>
    <t>EBITDA Margin %</t>
  </si>
  <si>
    <t>Store Performance Comparison — 2024</t>
  </si>
  <si>
    <t>Weighted scoring · Head-to-head comparison · Regional rankings</t>
  </si>
  <si>
    <t>Orders</t>
  </si>
  <si>
    <t>Weighted Score</t>
  </si>
  <si>
    <t>Final Rank</t>
  </si>
  <si>
    <t>Weight</t>
  </si>
  <si>
    <t>Profit Margin</t>
  </si>
  <si>
    <t>Revenue Score</t>
  </si>
  <si>
    <t>Profit Margin Score</t>
  </si>
  <si>
    <t>Order Volume Score</t>
  </si>
  <si>
    <t>Avg Order Value Score</t>
  </si>
  <si>
    <t>Overall Score</t>
  </si>
  <si>
    <t>Store 1</t>
  </si>
  <si>
    <t>Store 2</t>
  </si>
  <si>
    <t>VS</t>
  </si>
  <si>
    <t>Srore 2</t>
  </si>
  <si>
    <t>Winner</t>
  </si>
  <si>
    <t>2024 Annual Performance Dashboard</t>
  </si>
  <si>
    <t>Built by: Pradnya Gadhave</t>
  </si>
  <si>
    <t>Data Source: City Smart Retail Internal Sales System | Period: Jan–Dec 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</si>
</sst>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 &quot;₹&quot;\ * #,##0.00_ ;_ &quot;₹&quot;\ * \-#,##0.00_ ;_ &quot;₹&quot;\ * &quot;-&quot;??_ ;_ @_ "/>
    <numFmt numFmtId="164" formatCode="dd\-mmm\-yyyy"/>
    <numFmt numFmtId="165" formatCode="\₹#,##0.00"/>
    <numFmt numFmtId="166" formatCode="_ [$₹-4009]\ * #,##0.00_ ;_ [$₹-4009]\ * \-#,##0.00_ ;_ [$₹-4009]\ * &quot;-&quot;??_ ;_ @_ "/>
    <numFmt numFmtId="167" formatCode="0.0"/>
    <numFmt numFmtId="168" formatCode="_ [$₹-4009]\ * #,##0.0_ ;_ [$₹-4009]\ * \-#,##0.0_ ;_ [$₹-4009]\ * &quot;-&quot;??_ ;_ @_ "/>
    <numFmt numFmtId="169" formatCode="_ &quot;₹&quot;\ * #,##0.0_ ;_ &quot;₹&quot;\ * \-#,##0.0_ ;_ &quot;₹&quot;\ * &quot;-&quot;??_ ;_ @_ "/>
    <numFmt numFmtId="170" formatCode="_ [$₹-4009]\ * #,##0_ ;_ [$₹-4009]\ * \-#,##0_ ;_ [$₹-4009]\ * &quot;-&quot;??_ ;_ @_ "/>
    <numFmt numFmtId="171" formatCode="_ &quot;₹&quot;\ * #,##0_ ;_ &quot;₹&quot;\ * \-#,##0_ ;_ &quot;₹&quot;\ * &quot;-&quot;??_ ;_ @_ "/>
    <numFmt numFmtId="176" formatCode="0.0%"/>
    <numFmt numFmtId="182" formatCode="0.000"/>
  </numFmts>
  <fonts count="39">
    <font>
      <sz val="11"/>
      <color theme="1"/>
      <name val="Calibri"/>
      <family val="2"/>
      <charset val="1"/>
    </font>
    <font>
      <b/>
      <sz val="10"/>
      <color rgb="FFFFFFFF"/>
      <name val="Arial"/>
      <charset val="1"/>
    </font>
    <font>
      <sz val="10"/>
      <name val="Arial"/>
      <charset val="1"/>
    </font>
    <font>
      <sz val="10"/>
      <color rgb="FF000000"/>
      <name val="Arial"/>
      <charset val="1"/>
    </font>
    <font>
      <b/>
      <sz val="12"/>
      <color theme="1"/>
      <name val="Calibri"/>
      <family val="2"/>
    </font>
    <font>
      <sz val="12"/>
      <color theme="1"/>
      <name val="Calibri"/>
      <family val="2"/>
    </font>
    <font>
      <b/>
      <sz val="20"/>
      <color theme="3"/>
      <name val="Calibri"/>
      <family val="2"/>
    </font>
    <font>
      <b/>
      <sz val="12"/>
      <color theme="1" tint="0.34998626667073579"/>
      <name val="Calibri"/>
      <family val="2"/>
    </font>
    <font>
      <sz val="11"/>
      <color theme="1"/>
      <name val="Calibri"/>
      <family val="2"/>
      <charset val="1"/>
    </font>
    <font>
      <sz val="10"/>
      <color theme="1"/>
      <name val="Arial Unicode MS"/>
      <family val="2"/>
    </font>
    <font>
      <sz val="9"/>
      <color theme="1"/>
      <name val="Calibri"/>
      <family val="2"/>
    </font>
    <font>
      <sz val="9"/>
      <color theme="0"/>
      <name val="ALL CAPS"/>
    </font>
    <font>
      <b/>
      <sz val="11"/>
      <color theme="1"/>
      <name val="Calibri"/>
      <family val="2"/>
    </font>
    <font>
      <sz val="10"/>
      <name val="Arial"/>
      <family val="2"/>
    </font>
    <font>
      <b/>
      <sz val="10"/>
      <color theme="0"/>
      <name val="Calibri"/>
      <family val="2"/>
      <charset val="1"/>
    </font>
    <font>
      <b/>
      <sz val="10"/>
      <color theme="0"/>
      <name val="Arial Unicode MS"/>
      <family val="2"/>
    </font>
    <font>
      <b/>
      <sz val="18"/>
      <color theme="1"/>
      <name val="Calibri"/>
      <family val="2"/>
    </font>
    <font>
      <b/>
      <sz val="18"/>
      <color theme="3"/>
      <name val="Calibri"/>
      <family val="2"/>
    </font>
    <font>
      <sz val="11"/>
      <color theme="1" tint="0.34998626667073579"/>
      <name val="Calibri"/>
      <family val="2"/>
    </font>
    <font>
      <sz val="10"/>
      <color theme="0" tint="-0.499984740745262"/>
      <name val="Calibri"/>
      <family val="2"/>
    </font>
    <font>
      <b/>
      <sz val="18"/>
      <color rgb="FF002060"/>
      <name val="Calibri"/>
      <family val="2"/>
    </font>
    <font>
      <sz val="10"/>
      <color theme="1"/>
      <name val="Calibri"/>
      <family val="2"/>
      <charset val="1"/>
    </font>
    <font>
      <sz val="10"/>
      <color theme="1" tint="0.34998626667073579"/>
      <name val="Calibri"/>
      <family val="2"/>
      <charset val="1"/>
    </font>
    <font>
      <b/>
      <sz val="11"/>
      <color rgb="FFC00000"/>
      <name val="Calibri"/>
      <family val="2"/>
    </font>
    <font>
      <sz val="8"/>
      <name val="Calibri"/>
      <family val="2"/>
      <charset val="1"/>
    </font>
    <font>
      <i/>
      <sz val="10"/>
      <color theme="1" tint="0.34998626667073579"/>
      <name val="Calibri"/>
      <family val="2"/>
    </font>
    <font>
      <b/>
      <sz val="12"/>
      <color rgb="FF002060"/>
      <name val="Arial Unicode MS"/>
      <family val="2"/>
    </font>
    <font>
      <sz val="10"/>
      <color rgb="FF002060"/>
      <name val="Arial Unicode MS"/>
      <family val="2"/>
    </font>
    <font>
      <sz val="10"/>
      <color rgb="FFFF0000"/>
      <name val="Arial Unicode MS"/>
      <family val="2"/>
    </font>
    <font>
      <sz val="11"/>
      <color rgb="FFFF0000"/>
      <name val="Calibri"/>
      <family val="2"/>
      <charset val="1"/>
    </font>
    <font>
      <b/>
      <sz val="10"/>
      <color rgb="FF00B050"/>
      <name val="Arial Unicode MS"/>
      <family val="2"/>
    </font>
    <font>
      <i/>
      <sz val="11"/>
      <color theme="1" tint="0.499984740745262"/>
      <name val="Calibri"/>
      <family val="2"/>
    </font>
    <font>
      <b/>
      <sz val="12"/>
      <color rgb="FF002060"/>
      <name val="Calibri"/>
      <family val="2"/>
    </font>
    <font>
      <sz val="10"/>
      <color theme="1" tint="0.249977111117893"/>
      <name val="Calibri"/>
      <family val="2"/>
    </font>
    <font>
      <b/>
      <sz val="11"/>
      <color rgb="FF002060"/>
      <name val="Calibri"/>
      <family val="2"/>
    </font>
    <font>
      <b/>
      <sz val="24"/>
      <color rgb="FF002060"/>
      <name val="Calibri"/>
      <family val="2"/>
    </font>
    <font>
      <sz val="12"/>
      <color theme="1" tint="0.34998626667073579"/>
      <name val="Calibri"/>
      <family val="2"/>
      <charset val="1"/>
    </font>
    <font>
      <i/>
      <sz val="10"/>
      <color theme="1" tint="0.34998626667073579"/>
      <name val="Arial Unicode MS"/>
      <family val="2"/>
    </font>
    <font>
      <i/>
      <sz val="9"/>
      <color theme="1" tint="0.34998626667073579"/>
      <name val="Calibri"/>
      <family val="2"/>
    </font>
  </fonts>
  <fills count="12">
    <fill>
      <patternFill patternType="none"/>
    </fill>
    <fill>
      <patternFill patternType="gray125"/>
    </fill>
    <fill>
      <patternFill patternType="solid">
        <fgColor rgb="FF1F3864"/>
        <bgColor rgb="FF333333"/>
      </patternFill>
    </fill>
    <fill>
      <patternFill patternType="solid">
        <fgColor rgb="FFF2F7FF"/>
        <bgColor rgb="FFFFFFFF"/>
      </patternFill>
    </fill>
    <fill>
      <patternFill patternType="solid">
        <fgColor rgb="FFFFFFFF"/>
        <bgColor rgb="FFF2F7FF"/>
      </patternFill>
    </fill>
    <fill>
      <patternFill patternType="solid">
        <fgColor theme="3" tint="0.79998168889431442"/>
        <bgColor indexed="64"/>
      </patternFill>
    </fill>
    <fill>
      <patternFill patternType="solid">
        <fgColor theme="0" tint="-0.499984740745262"/>
        <bgColor indexed="64"/>
      </patternFill>
    </fill>
    <fill>
      <patternFill patternType="solid">
        <fgColor theme="3"/>
        <bgColor indexed="64"/>
      </patternFill>
    </fill>
    <fill>
      <patternFill patternType="solid">
        <fgColor theme="0"/>
        <bgColor indexed="64"/>
      </patternFill>
    </fill>
    <fill>
      <patternFill patternType="solid">
        <fgColor theme="5" tint="0.79998168889431442"/>
        <bgColor indexed="64"/>
      </patternFill>
    </fill>
    <fill>
      <patternFill patternType="solid">
        <fgColor rgb="FFFFFF00"/>
        <bgColor indexed="64"/>
      </patternFill>
    </fill>
    <fill>
      <patternFill patternType="solid">
        <fgColor rgb="FF00B0F0"/>
        <bgColor indexed="64"/>
      </patternFill>
    </fill>
  </fills>
  <borders count="11">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44" fontId="8" fillId="0" borderId="0" applyFont="0" applyFill="0" applyBorder="0" applyAlignment="0" applyProtection="0"/>
    <xf numFmtId="9" fontId="8" fillId="0" borderId="0" applyFont="0" applyFill="0" applyBorder="0" applyAlignment="0" applyProtection="0"/>
  </cellStyleXfs>
  <cellXfs count="120">
    <xf numFmtId="0" fontId="0" fillId="0" borderId="0" xfId="0"/>
    <xf numFmtId="0" fontId="1" fillId="2" borderId="1" xfId="0" applyFont="1" applyFill="1" applyBorder="1" applyAlignment="1">
      <alignment horizontal="center" vertical="center"/>
    </xf>
    <xf numFmtId="0" fontId="2" fillId="3" borderId="1" xfId="0" applyFont="1" applyFill="1" applyBorder="1"/>
    <xf numFmtId="164" fontId="2" fillId="3" borderId="1" xfId="0" applyNumberFormat="1" applyFont="1" applyFill="1" applyBorder="1" applyAlignment="1">
      <alignment horizontal="center"/>
    </xf>
    <xf numFmtId="0" fontId="2" fillId="3" borderId="1" xfId="0" applyFont="1" applyFill="1" applyBorder="1" applyAlignment="1">
      <alignment horizontal="center"/>
    </xf>
    <xf numFmtId="165" fontId="3" fillId="3" borderId="1" xfId="0" applyNumberFormat="1" applyFont="1" applyFill="1" applyBorder="1"/>
    <xf numFmtId="0" fontId="2" fillId="4" borderId="1" xfId="0" applyFont="1" applyFill="1" applyBorder="1"/>
    <xf numFmtId="164" fontId="2" fillId="4" borderId="1" xfId="0" applyNumberFormat="1" applyFont="1" applyFill="1" applyBorder="1" applyAlignment="1">
      <alignment horizontal="center"/>
    </xf>
    <xf numFmtId="0" fontId="2" fillId="4" borderId="1" xfId="0" applyFont="1" applyFill="1" applyBorder="1" applyAlignment="1">
      <alignment horizontal="center"/>
    </xf>
    <xf numFmtId="165" fontId="3" fillId="4" borderId="1" xfId="0" applyNumberFormat="1" applyFont="1" applyFill="1" applyBorder="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wrapText="1"/>
    </xf>
    <xf numFmtId="0" fontId="0" fillId="0" borderId="0" xfId="0" applyAlignment="1">
      <alignment horizontal="center" vertical="center"/>
    </xf>
    <xf numFmtId="0" fontId="9" fillId="0" borderId="0" xfId="0" applyFont="1"/>
    <xf numFmtId="0" fontId="0" fillId="0" borderId="0" xfId="0" applyAlignment="1">
      <alignment horizontal="center" vertical="center" wrapText="1"/>
    </xf>
    <xf numFmtId="0" fontId="0" fillId="0" borderId="0" xfId="0" applyAlignment="1">
      <alignment vertical="center" wrapText="1"/>
    </xf>
    <xf numFmtId="0" fontId="9" fillId="0" borderId="0" xfId="0" applyFont="1" applyAlignment="1">
      <alignment horizontal="center" vertical="center" wrapText="1"/>
    </xf>
    <xf numFmtId="0" fontId="10" fillId="0" borderId="0" xfId="0" applyFont="1"/>
    <xf numFmtId="0" fontId="11" fillId="6" borderId="0" xfId="0" applyFont="1" applyFill="1" applyAlignment="1">
      <alignment horizontal="center" vertical="center" wrapText="1"/>
    </xf>
    <xf numFmtId="0" fontId="0" fillId="0" borderId="2" xfId="0" applyBorder="1" applyAlignment="1">
      <alignment horizontal="center" vertical="center"/>
    </xf>
    <xf numFmtId="0" fontId="0" fillId="0" borderId="4" xfId="0" applyBorder="1"/>
    <xf numFmtId="0" fontId="0" fillId="0" borderId="5" xfId="0" applyBorder="1"/>
    <xf numFmtId="0" fontId="0" fillId="0" borderId="6" xfId="0" applyBorder="1"/>
    <xf numFmtId="0" fontId="12" fillId="0" borderId="0" xfId="0" applyFont="1"/>
    <xf numFmtId="0" fontId="13" fillId="3" borderId="1" xfId="0" applyFont="1" applyFill="1" applyBorder="1"/>
    <xf numFmtId="166" fontId="14" fillId="7" borderId="0" xfId="0" applyNumberFormat="1" applyFont="1" applyFill="1" applyAlignment="1">
      <alignment horizontal="center" vertical="center"/>
    </xf>
    <xf numFmtId="166" fontId="14" fillId="7" borderId="0" xfId="0" applyNumberFormat="1" applyFont="1" applyFill="1" applyAlignment="1">
      <alignment horizontal="center" vertical="center" wrapText="1"/>
    </xf>
    <xf numFmtId="0" fontId="14" fillId="7" borderId="0" xfId="0" applyFont="1" applyFill="1" applyAlignment="1">
      <alignment horizontal="center" vertical="center"/>
    </xf>
    <xf numFmtId="0" fontId="14" fillId="7" borderId="0" xfId="0" applyFont="1" applyFill="1" applyAlignment="1">
      <alignment horizontal="center" vertical="center" wrapText="1"/>
    </xf>
    <xf numFmtId="0" fontId="15" fillId="7" borderId="0" xfId="0" applyFont="1" applyFill="1" applyAlignment="1">
      <alignment horizontal="center" vertical="center" wrapText="1"/>
    </xf>
    <xf numFmtId="0" fontId="9" fillId="0" borderId="0" xfId="0" applyFont="1" applyAlignment="1">
      <alignment horizontal="center" vertical="center"/>
    </xf>
    <xf numFmtId="9" fontId="0" fillId="0" borderId="0" xfId="2" applyFont="1"/>
    <xf numFmtId="0" fontId="9" fillId="0" borderId="2" xfId="0" applyFont="1" applyBorder="1" applyAlignment="1">
      <alignment horizontal="center" vertical="center"/>
    </xf>
    <xf numFmtId="0" fontId="0" fillId="0" borderId="2" xfId="0" applyBorder="1" applyAlignment="1">
      <alignment horizontal="center" vertical="center" wrapText="1"/>
    </xf>
    <xf numFmtId="9" fontId="0" fillId="0" borderId="3" xfId="2" applyFont="1" applyBorder="1"/>
    <xf numFmtId="9" fontId="0" fillId="0" borderId="7" xfId="2" applyFont="1" applyBorder="1"/>
    <xf numFmtId="0" fontId="13" fillId="4" borderId="1" xfId="0" applyFont="1" applyFill="1" applyBorder="1"/>
    <xf numFmtId="167" fontId="0" fillId="0" borderId="0" xfId="0" applyNumberFormat="1"/>
    <xf numFmtId="166" fontId="0" fillId="0" borderId="0" xfId="0" applyNumberFormat="1"/>
    <xf numFmtId="168" fontId="0" fillId="0" borderId="0" xfId="0" applyNumberFormat="1"/>
    <xf numFmtId="169" fontId="0" fillId="0" borderId="0" xfId="1" applyNumberFormat="1" applyFont="1"/>
    <xf numFmtId="166" fontId="0" fillId="0" borderId="0" xfId="1" applyNumberFormat="1" applyFont="1"/>
    <xf numFmtId="0" fontId="21" fillId="0" borderId="0" xfId="0" applyFont="1" applyAlignment="1">
      <alignment horizontal="center" vertical="center" wrapText="1"/>
    </xf>
    <xf numFmtId="170" fontId="0" fillId="0" borderId="0" xfId="0" applyNumberFormat="1"/>
    <xf numFmtId="0" fontId="9" fillId="0" borderId="2" xfId="0" applyFont="1" applyBorder="1" applyAlignment="1">
      <alignment horizontal="center" vertical="center" wrapText="1"/>
    </xf>
    <xf numFmtId="170" fontId="9" fillId="0" borderId="2" xfId="0" applyNumberFormat="1" applyFont="1" applyBorder="1" applyAlignment="1">
      <alignment horizontal="center" vertical="center" wrapText="1"/>
    </xf>
    <xf numFmtId="9" fontId="0" fillId="10" borderId="0" xfId="0" applyNumberFormat="1" applyFill="1" applyAlignment="1">
      <alignment horizontal="center" vertical="center" wrapText="1"/>
    </xf>
    <xf numFmtId="171" fontId="0" fillId="10" borderId="0" xfId="1" applyNumberFormat="1" applyFont="1" applyFill="1" applyAlignment="1">
      <alignment horizontal="center" vertical="center" wrapText="1"/>
    </xf>
    <xf numFmtId="0" fontId="27" fillId="0" borderId="0" xfId="0" applyFont="1"/>
    <xf numFmtId="0" fontId="28" fillId="0" borderId="0" xfId="0" applyFont="1"/>
    <xf numFmtId="0" fontId="29" fillId="0" borderId="0" xfId="0" applyFont="1"/>
    <xf numFmtId="0" fontId="30" fillId="0" borderId="0" xfId="0" applyFont="1"/>
    <xf numFmtId="0" fontId="31" fillId="0" borderId="0" xfId="0" applyFont="1"/>
    <xf numFmtId="0" fontId="20" fillId="0" borderId="0" xfId="0" applyFont="1" applyAlignment="1">
      <alignment horizontal="center"/>
    </xf>
    <xf numFmtId="0" fontId="25" fillId="0" borderId="0" xfId="0" applyFont="1" applyAlignment="1">
      <alignment horizontal="center"/>
    </xf>
    <xf numFmtId="0" fontId="26" fillId="0" borderId="0" xfId="0" applyFont="1" applyAlignment="1">
      <alignment horizontal="center" vertical="center" wrapText="1"/>
    </xf>
    <xf numFmtId="0" fontId="32" fillId="0" borderId="0" xfId="0" applyFont="1" applyAlignment="1">
      <alignment horizontal="center"/>
    </xf>
    <xf numFmtId="0" fontId="17" fillId="8" borderId="0" xfId="0" applyFont="1" applyFill="1" applyAlignment="1">
      <alignment horizontal="center"/>
    </xf>
    <xf numFmtId="0" fontId="16" fillId="8" borderId="0" xfId="0" applyFont="1" applyFill="1" applyAlignment="1">
      <alignment horizontal="center"/>
    </xf>
    <xf numFmtId="0" fontId="18" fillId="0" borderId="0" xfId="0" applyFont="1" applyAlignment="1">
      <alignment horizontal="center"/>
    </xf>
    <xf numFmtId="0" fontId="0" fillId="0" borderId="0" xfId="0" applyAlignment="1">
      <alignment horizontal="center"/>
    </xf>
    <xf numFmtId="0" fontId="4"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7" fillId="0" borderId="0" xfId="0" applyFont="1" applyAlignment="1">
      <alignment horizontal="center"/>
    </xf>
    <xf numFmtId="0" fontId="0" fillId="5" borderId="0" xfId="0" applyFill="1" applyAlignment="1">
      <alignment horizontal="center"/>
    </xf>
    <xf numFmtId="0" fontId="17" fillId="0" borderId="0" xfId="0" applyFont="1" applyAlignment="1">
      <alignment horizontal="center"/>
    </xf>
    <xf numFmtId="0" fontId="19" fillId="0" borderId="0" xfId="0" applyFont="1" applyAlignment="1">
      <alignment horizontal="center"/>
    </xf>
    <xf numFmtId="0" fontId="22" fillId="0" borderId="0" xfId="0" applyFont="1" applyAlignment="1">
      <alignment horizontal="center"/>
    </xf>
    <xf numFmtId="0" fontId="23" fillId="9" borderId="0" xfId="0" applyFont="1" applyFill="1" applyAlignment="1">
      <alignment horizontal="center"/>
    </xf>
    <xf numFmtId="0" fontId="33" fillId="0" borderId="0" xfId="0" applyFont="1" applyAlignment="1">
      <alignment horizontal="center"/>
    </xf>
    <xf numFmtId="44" fontId="0" fillId="0" borderId="0" xfId="1" applyFont="1" applyBorder="1" applyAlignment="1">
      <alignment horizontal="center" vertical="center"/>
    </xf>
    <xf numFmtId="176" fontId="0" fillId="0" borderId="0" xfId="0" applyNumberFormat="1" applyBorder="1" applyAlignment="1">
      <alignment horizontal="center" vertical="center"/>
    </xf>
    <xf numFmtId="0" fontId="0" fillId="0" borderId="0" xfId="0" applyBorder="1" applyAlignment="1">
      <alignment horizontal="center" vertical="center"/>
    </xf>
    <xf numFmtId="44" fontId="0" fillId="0" borderId="0" xfId="0" applyNumberFormat="1" applyBorder="1" applyAlignment="1">
      <alignment vertical="center"/>
    </xf>
    <xf numFmtId="176" fontId="0" fillId="0" borderId="0" xfId="2" applyNumberFormat="1" applyFont="1" applyBorder="1" applyAlignment="1">
      <alignment horizontal="center" vertical="center"/>
    </xf>
    <xf numFmtId="0" fontId="0" fillId="0" borderId="3" xfId="0" applyBorder="1" applyAlignment="1">
      <alignment horizontal="center" vertical="center"/>
    </xf>
    <xf numFmtId="44" fontId="0" fillId="0" borderId="6" xfId="1" applyFont="1" applyBorder="1" applyAlignment="1">
      <alignment horizontal="center" vertical="center"/>
    </xf>
    <xf numFmtId="176" fontId="0" fillId="0" borderId="6" xfId="0" applyNumberFormat="1" applyBorder="1" applyAlignment="1">
      <alignment horizontal="center" vertical="center"/>
    </xf>
    <xf numFmtId="0" fontId="0" fillId="0" borderId="6" xfId="0" applyBorder="1" applyAlignment="1">
      <alignment horizontal="center" vertical="center"/>
    </xf>
    <xf numFmtId="44" fontId="0" fillId="0" borderId="6" xfId="0" applyNumberFormat="1" applyBorder="1" applyAlignment="1">
      <alignment vertical="center"/>
    </xf>
    <xf numFmtId="176" fontId="0" fillId="0" borderId="6" xfId="2" applyNumberFormat="1" applyFont="1"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wrapText="1"/>
    </xf>
    <xf numFmtId="0" fontId="0" fillId="0" borderId="7" xfId="0" applyBorder="1" applyAlignment="1">
      <alignment horizontal="center" vertical="center" wrapText="1"/>
    </xf>
    <xf numFmtId="176" fontId="0" fillId="0" borderId="2" xfId="0" applyNumberFormat="1" applyBorder="1" applyAlignment="1">
      <alignment horizontal="center" vertical="center" wrapText="1"/>
    </xf>
    <xf numFmtId="176" fontId="9" fillId="0" borderId="2" xfId="2" applyNumberFormat="1" applyFont="1" applyBorder="1" applyAlignment="1">
      <alignment horizontal="center" vertical="center" wrapText="1"/>
    </xf>
    <xf numFmtId="0" fontId="9" fillId="0" borderId="2" xfId="0" applyFont="1" applyBorder="1" applyAlignment="1">
      <alignment vertical="center" wrapText="1"/>
    </xf>
    <xf numFmtId="0" fontId="0" fillId="0" borderId="2" xfId="0" applyBorder="1" applyAlignment="1">
      <alignment vertical="center" wrapText="1"/>
    </xf>
    <xf numFmtId="0" fontId="0" fillId="0" borderId="9" xfId="0" applyBorder="1" applyAlignment="1">
      <alignment horizontal="center"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9" fillId="0" borderId="8" xfId="0" applyFont="1" applyBorder="1" applyAlignment="1">
      <alignment horizontal="left" vertical="center" wrapText="1"/>
    </xf>
    <xf numFmtId="182" fontId="0" fillId="0" borderId="0" xfId="0" applyNumberFormat="1" applyBorder="1"/>
    <xf numFmtId="182" fontId="0" fillId="0" borderId="3" xfId="0" applyNumberFormat="1" applyBorder="1"/>
    <xf numFmtId="0" fontId="9" fillId="0" borderId="9" xfId="0" applyFont="1" applyBorder="1" applyAlignment="1">
      <alignment horizontal="left" vertical="center" wrapText="1"/>
    </xf>
    <xf numFmtId="182" fontId="9" fillId="0" borderId="0" xfId="0" applyNumberFormat="1" applyFont="1" applyBorder="1"/>
    <xf numFmtId="182" fontId="9" fillId="0" borderId="3" xfId="0" applyNumberFormat="1" applyFont="1" applyBorder="1"/>
    <xf numFmtId="182" fontId="0" fillId="0" borderId="6" xfId="0" applyNumberFormat="1" applyBorder="1"/>
    <xf numFmtId="182" fontId="0" fillId="0" borderId="7" xfId="0" applyNumberFormat="1" applyBorder="1"/>
    <xf numFmtId="0" fontId="9" fillId="0" borderId="0" xfId="0" applyFont="1" applyBorder="1" applyAlignment="1">
      <alignment horizontal="center" vertical="center"/>
    </xf>
    <xf numFmtId="0" fontId="9" fillId="0" borderId="3" xfId="0" applyFont="1" applyBorder="1" applyAlignment="1">
      <alignment horizontal="center" vertical="center"/>
    </xf>
    <xf numFmtId="0" fontId="9" fillId="0" borderId="7" xfId="0" applyFont="1" applyBorder="1" applyAlignment="1">
      <alignment horizontal="center" vertical="center"/>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34" fillId="11" borderId="0" xfId="0" applyFont="1" applyFill="1" applyAlignment="1">
      <alignment horizontal="center"/>
    </xf>
    <xf numFmtId="0" fontId="35" fillId="0" borderId="0" xfId="0" applyFont="1" applyAlignment="1">
      <alignment horizontal="center"/>
    </xf>
    <xf numFmtId="0" fontId="36" fillId="0" borderId="0" xfId="0" applyFont="1" applyAlignment="1">
      <alignment horizontal="center"/>
    </xf>
    <xf numFmtId="0" fontId="37" fillId="0" borderId="0" xfId="0" applyFont="1" applyAlignment="1">
      <alignment horizontal="center"/>
    </xf>
    <xf numFmtId="0" fontId="12" fillId="0" borderId="2" xfId="0" applyFont="1" applyBorder="1" applyAlignment="1">
      <alignment horizontal="center" vertical="center"/>
    </xf>
    <xf numFmtId="0" fontId="0" fillId="0" borderId="0" xfId="0" applyBorder="1" applyAlignment="1">
      <alignment horizontal="left" vertical="center" wrapText="1"/>
    </xf>
    <xf numFmtId="0" fontId="12" fillId="0" borderId="0" xfId="0" applyFont="1" applyBorder="1" applyAlignment="1">
      <alignment horizontal="center" vertical="center" wrapText="1"/>
    </xf>
    <xf numFmtId="0" fontId="12" fillId="0" borderId="0" xfId="0" applyFont="1" applyBorder="1" applyAlignment="1">
      <alignment horizontal="center" vertical="center"/>
    </xf>
    <xf numFmtId="0" fontId="12" fillId="11" borderId="2" xfId="0" applyFont="1" applyFill="1" applyBorder="1" applyAlignment="1">
      <alignment horizontal="center" vertical="center" wrapText="1"/>
    </xf>
    <xf numFmtId="0" fontId="38" fillId="0" borderId="0" xfId="0" applyFont="1"/>
  </cellXfs>
  <cellStyles count="3">
    <cellStyle name="Currency" xfId="1" builtinId="4"/>
    <cellStyle name="Normal" xfId="0" builtinId="0"/>
    <cellStyle name="Percent" xfId="2" builtinId="5"/>
  </cellStyles>
  <dxfs count="9">
    <dxf>
      <fill>
        <patternFill>
          <bgColor rgb="FF92D050"/>
        </patternFill>
      </fill>
    </dxf>
    <dxf>
      <fill>
        <patternFill>
          <bgColor rgb="FFFF0000"/>
        </patternFill>
      </fill>
    </dxf>
    <dxf>
      <font>
        <color rgb="FF006100"/>
      </font>
      <fill>
        <patternFill>
          <bgColor rgb="FFC6EFCE"/>
        </patternFill>
      </fill>
    </dxf>
    <dxf>
      <font>
        <color rgb="FF9C0006"/>
      </font>
      <fill>
        <patternFill>
          <bgColor rgb="FFFFC7CE"/>
        </patternFill>
      </fill>
    </dxf>
    <dxf>
      <fill>
        <patternFill>
          <bgColor rgb="FFFF0000"/>
        </patternFill>
      </fill>
    </dxf>
    <dxf>
      <font>
        <b/>
        <i val="0"/>
        <color theme="0"/>
      </font>
      <fill>
        <patternFill>
          <bgColor rgb="FFC00000"/>
        </patternFill>
      </fill>
    </dxf>
    <dxf>
      <fill>
        <patternFill>
          <bgColor rgb="FFFFFF00"/>
        </patternFill>
      </fill>
    </dxf>
    <dxf>
      <fill>
        <patternFill>
          <bgColor rgb="FF92D050"/>
        </patternFill>
      </fill>
    </dxf>
    <dxf>
      <fill>
        <patternFill>
          <bgColor rgb="FF92D05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7FF"/>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vs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SALES_ANALYSIS!$B$4</c:f>
              <c:strCache>
                <c:ptCount val="1"/>
                <c:pt idx="0">
                  <c:v>Revenue</c:v>
                </c:pt>
              </c:strCache>
            </c:strRef>
          </c:tx>
          <c:spPr>
            <a:solidFill>
              <a:schemeClr val="accent1"/>
            </a:solidFill>
            <a:ln>
              <a:noFill/>
            </a:ln>
            <a:effectLst/>
          </c:spPr>
          <c:invertIfNegative val="0"/>
          <c:cat>
            <c:strRef>
              <c:f>SALES_ANALYSIS!$A$5:$A$16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SALES_ANALYSIS!$B$5:$B$16</c:f>
              <c:numCache>
                <c:formatCode>General</c:formatCode>
                <c:ptCount val="12"/>
                <c:pt idx="0">
                  <c:v>36202.5</c:v>
                </c:pt>
                <c:pt idx="1">
                  <c:v>39371</c:v>
                </c:pt>
                <c:pt idx="2">
                  <c:v>31778</c:v>
                </c:pt>
                <c:pt idx="3">
                  <c:v>28303.5</c:v>
                </c:pt>
                <c:pt idx="4">
                  <c:v>35009.5</c:v>
                </c:pt>
                <c:pt idx="5">
                  <c:v>36761</c:v>
                </c:pt>
                <c:pt idx="6">
                  <c:v>22633</c:v>
                </c:pt>
                <c:pt idx="7">
                  <c:v>33438</c:v>
                </c:pt>
                <c:pt idx="8">
                  <c:v>32975.5</c:v>
                </c:pt>
                <c:pt idx="9">
                  <c:v>32505.5</c:v>
                </c:pt>
                <c:pt idx="10">
                  <c:v>16608.5</c:v>
                </c:pt>
                <c:pt idx="11">
                  <c:v>42428</c:v>
                </c:pt>
              </c:numCache>
            </c:numRef>
          </c:val>
          <c:extLst>
            <c:ext xmlns:c16="http://schemas.microsoft.com/office/drawing/2014/chart" uri="{C3380CC4-5D6E-409C-BE32-E72D297353CC}">
              <c16:uniqueId val="{00000000-995A-414D-A6EF-8162523A7261}"/>
            </c:ext>
          </c:extLst>
        </c:ser>
        <c:dLbls>
          <c:showLegendKey val="0"/>
          <c:showVal val="0"/>
          <c:showCatName val="0"/>
          <c:showSerName val="0"/>
          <c:showPercent val="0"/>
          <c:showBubbleSize val="0"/>
        </c:dLbls>
        <c:gapWidth val="150"/>
        <c:axId val="1980056671"/>
        <c:axId val="1980057151"/>
      </c:barChart>
      <c:lineChart>
        <c:grouping val="standard"/>
        <c:varyColors val="0"/>
        <c:ser>
          <c:idx val="1"/>
          <c:order val="1"/>
          <c:tx>
            <c:strRef>
              <c:f>SALES_ANALYSIS!$C$4</c:f>
              <c:strCache>
                <c:ptCount val="1"/>
                <c:pt idx="0">
                  <c:v>Profit</c:v>
                </c:pt>
              </c:strCache>
            </c:strRef>
          </c:tx>
          <c:spPr>
            <a:ln w="28575" cap="rnd">
              <a:solidFill>
                <a:schemeClr val="accent2"/>
              </a:solidFill>
              <a:round/>
            </a:ln>
            <a:effectLst/>
          </c:spPr>
          <c:marker>
            <c:symbol val="none"/>
          </c:marker>
          <c:cat>
            <c:strRef>
              <c:f>SALES_ANALYSIS!$A$5:$A$16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SALES_ANALYSIS!$C$5:$C$16</c:f>
              <c:numCache>
                <c:formatCode>General</c:formatCode>
                <c:ptCount val="12"/>
                <c:pt idx="0">
                  <c:v>12670.875</c:v>
                </c:pt>
                <c:pt idx="1">
                  <c:v>13779.85</c:v>
                </c:pt>
                <c:pt idx="2">
                  <c:v>11122.299999999996</c:v>
                </c:pt>
                <c:pt idx="3">
                  <c:v>9906.2250000000004</c:v>
                </c:pt>
                <c:pt idx="4">
                  <c:v>12253.324999999999</c:v>
                </c:pt>
                <c:pt idx="5">
                  <c:v>12866.350000000002</c:v>
                </c:pt>
                <c:pt idx="6">
                  <c:v>7921.5499999999984</c:v>
                </c:pt>
                <c:pt idx="7">
                  <c:v>11703.300000000003</c:v>
                </c:pt>
                <c:pt idx="8">
                  <c:v>11541.425000000003</c:v>
                </c:pt>
                <c:pt idx="9">
                  <c:v>11376.924999999999</c:v>
                </c:pt>
                <c:pt idx="10">
                  <c:v>5812.9749999999995</c:v>
                </c:pt>
                <c:pt idx="11">
                  <c:v>14849.799999999997</c:v>
                </c:pt>
              </c:numCache>
            </c:numRef>
          </c:val>
          <c:smooth val="0"/>
          <c:extLst>
            <c:ext xmlns:c16="http://schemas.microsoft.com/office/drawing/2014/chart" uri="{C3380CC4-5D6E-409C-BE32-E72D297353CC}">
              <c16:uniqueId val="{00000001-995A-414D-A6EF-8162523A7261}"/>
            </c:ext>
          </c:extLst>
        </c:ser>
        <c:dLbls>
          <c:showLegendKey val="0"/>
          <c:showVal val="0"/>
          <c:showCatName val="0"/>
          <c:showSerName val="0"/>
          <c:showPercent val="0"/>
          <c:showBubbleSize val="0"/>
        </c:dLbls>
        <c:marker val="1"/>
        <c:smooth val="0"/>
        <c:axId val="1980056671"/>
        <c:axId val="1980057151"/>
      </c:lineChart>
      <c:catAx>
        <c:axId val="198005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057151"/>
        <c:crosses val="autoZero"/>
        <c:auto val="1"/>
        <c:lblAlgn val="ctr"/>
        <c:lblOffset val="100"/>
        <c:noMultiLvlLbl val="0"/>
      </c:catAx>
      <c:valAx>
        <c:axId val="1980057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056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[City_Smart_Retail.xlsx]PIVOT_HUB!PT_TopProducts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 by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PIVOT_HUB!$G$19</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PIVOT_HUB!$F$20:$F$29</c:f>
              <c:strCache>
                <c:ptCount val="10"/>
                <c:pt idx="0">
                  <c:v>Mop Set</c:v>
                </c:pt>
                <c:pt idx="1">
                  <c:v>Kids Hoodie</c:v>
                </c:pt>
                <c:pt idx="2">
                  <c:v>Non-stick Pan</c:v>
                </c:pt>
                <c:pt idx="3">
                  <c:v>Formal Shirt</c:v>
                </c:pt>
                <c:pt idx="4">
                  <c:v>Dinner Set 12pc</c:v>
                </c:pt>
                <c:pt idx="5">
                  <c:v>Women's Kurta</c:v>
                </c:pt>
                <c:pt idx="6">
                  <c:v>Jeans Slim Fit</c:v>
                </c:pt>
                <c:pt idx="7">
                  <c:v>Pressure Cooker 3L</c:v>
                </c:pt>
                <c:pt idx="8">
                  <c:v>Cotton Saree</c:v>
                </c:pt>
                <c:pt idx="9">
                  <c:v>Winter Jacket</c:v>
                </c:pt>
              </c:strCache>
            </c:strRef>
          </c:cat>
          <c:val>
            <c:numRef>
              <c:f>PIVOT_HUB!$G$20:$G$29</c:f>
              <c:numCache>
                <c:formatCode>\₹#,##0.00</c:formatCode>
                <c:ptCount val="10"/>
                <c:pt idx="0">
                  <c:v>14163</c:v>
                </c:pt>
                <c:pt idx="1">
                  <c:v>15091</c:v>
                </c:pt>
                <c:pt idx="2">
                  <c:v>15379.5</c:v>
                </c:pt>
                <c:pt idx="3">
                  <c:v>19914.5</c:v>
                </c:pt>
                <c:pt idx="4">
                  <c:v>23594</c:v>
                </c:pt>
                <c:pt idx="5">
                  <c:v>25455</c:v>
                </c:pt>
                <c:pt idx="6">
                  <c:v>31137.5</c:v>
                </c:pt>
                <c:pt idx="7">
                  <c:v>36806</c:v>
                </c:pt>
                <c:pt idx="8">
                  <c:v>41947.5</c:v>
                </c:pt>
                <c:pt idx="9">
                  <c:v>61558.5</c:v>
                </c:pt>
              </c:numCache>
            </c:numRef>
          </c:val>
          <c:extLst>
            <c:ext xmlns:c16="http://schemas.microsoft.com/office/drawing/2014/chart" uri="{C3380CC4-5D6E-409C-BE32-E72D297353CC}">
              <c16:uniqueId val="{00000000-340E-4F8E-BF6E-40E58AD281F2}"/>
            </c:ext>
          </c:extLst>
        </c:ser>
        <c:dLbls>
          <c:showLegendKey val="0"/>
          <c:showVal val="0"/>
          <c:showCatName val="0"/>
          <c:showSerName val="0"/>
          <c:showPercent val="0"/>
          <c:showBubbleSize val="0"/>
        </c:dLbls>
        <c:gapWidth val="182"/>
        <c:axId val="1980062911"/>
        <c:axId val="1980067711"/>
      </c:barChart>
      <c:catAx>
        <c:axId val="1980062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067711"/>
        <c:crosses val="autoZero"/>
        <c:auto val="1"/>
        <c:lblAlgn val="ctr"/>
        <c:lblOffset val="100"/>
        <c:noMultiLvlLbl val="0"/>
      </c:catAx>
      <c:valAx>
        <c:axId val="1980067711"/>
        <c:scaling>
          <c:orientation val="minMax"/>
        </c:scaling>
        <c:delete val="1"/>
        <c:axPos val="b"/>
        <c:numFmt formatCode="\₹#,##0.00" sourceLinked="1"/>
        <c:majorTickMark val="none"/>
        <c:minorTickMark val="none"/>
        <c:tickLblPos val="nextTo"/>
        <c:crossAx val="198006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 Split by Customer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doughnutChart>
        <c:varyColors val="1"/>
        <c:ser>
          <c:idx val="0"/>
          <c:order val="0"/>
          <c:tx>
            <c:strRef>
              <c:f>CUSTOMER_INSIGHTS!$B$4</c:f>
              <c:strCache>
                <c:ptCount val="1"/>
                <c:pt idx="0">
                  <c:v>Total Orders</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1-D556-4394-8CFC-662749EFFD49}"/>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2-D556-4394-8CFC-662749EFFD49}"/>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3-D556-4394-8CFC-662749EFFD49}"/>
              </c:ext>
            </c:extLst>
          </c:dPt>
          <c:dLbls>
            <c:dLbl>
              <c:idx val="0"/>
              <c:layout>
                <c:manualLayout>
                  <c:x val="0.1"/>
                  <c:y val="-4.1666666666666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556-4394-8CFC-662749EFFD49}"/>
                </c:ext>
              </c:extLst>
            </c:dLbl>
            <c:dLbl>
              <c:idx val="1"/>
              <c:layout>
                <c:manualLayout>
                  <c:x val="0.19444444444444445"/>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556-4394-8CFC-662749EFFD49}"/>
                </c:ext>
              </c:extLst>
            </c:dLbl>
            <c:dLbl>
              <c:idx val="2"/>
              <c:layout>
                <c:manualLayout>
                  <c:x val="-0.10555555555555558"/>
                  <c:y val="-9.25925925925926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556-4394-8CFC-662749EFFD49}"/>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CUSTOMER_INSIGHTS!$A$5:$A$7</c:f>
              <c:strCache>
                <c:ptCount val="3"/>
                <c:pt idx="0">
                  <c:v>New</c:v>
                </c:pt>
                <c:pt idx="1">
                  <c:v>Returning</c:v>
                </c:pt>
                <c:pt idx="2">
                  <c:v>Loyal</c:v>
                </c:pt>
              </c:strCache>
            </c:strRef>
          </c:cat>
          <c:val>
            <c:numRef>
              <c:f>CUSTOMER_INSIGHTS!$B$5:$B$7</c:f>
              <c:numCache>
                <c:formatCode>General</c:formatCode>
                <c:ptCount val="3"/>
                <c:pt idx="0">
                  <c:v>144</c:v>
                </c:pt>
                <c:pt idx="1">
                  <c:v>226</c:v>
                </c:pt>
                <c:pt idx="2">
                  <c:v>130</c:v>
                </c:pt>
              </c:numCache>
            </c:numRef>
          </c:val>
          <c:extLst>
            <c:ext xmlns:c16="http://schemas.microsoft.com/office/drawing/2014/chart" uri="{C3380CC4-5D6E-409C-BE32-E72D297353CC}">
              <c16:uniqueId val="{00000000-D556-4394-8CFC-662749EFFD49}"/>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Customer Type &amp;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percentStacked"/>
        <c:varyColors val="0"/>
        <c:ser>
          <c:idx val="0"/>
          <c:order val="0"/>
          <c:tx>
            <c:strRef>
              <c:f>CUSTOMER_INSIGHTS!$A$19</c:f>
              <c:strCache>
                <c:ptCount val="1"/>
                <c:pt idx="0">
                  <c:v>New</c:v>
                </c:pt>
              </c:strCache>
            </c:strRef>
          </c:tx>
          <c:spPr>
            <a:solidFill>
              <a:schemeClr val="accent1"/>
            </a:solidFill>
            <a:ln>
              <a:noFill/>
            </a:ln>
            <a:effectLst/>
          </c:spPr>
          <c:invertIfNegative val="0"/>
          <c:cat>
            <c:strRef>
              <c:f>CUSTOMER_INSIGHTS!$B$18:$E$18</c:f>
              <c:strCache>
                <c:ptCount val="4"/>
                <c:pt idx="0">
                  <c:v>Electronics</c:v>
                </c:pt>
                <c:pt idx="1">
                  <c:v>Clothing</c:v>
                </c:pt>
                <c:pt idx="2">
                  <c:v>Groceries</c:v>
                </c:pt>
                <c:pt idx="3">
                  <c:v>Home &amp; Kitchen</c:v>
                </c:pt>
              </c:strCache>
            </c:strRef>
          </c:cat>
          <c:val>
            <c:numRef>
              <c:f>CUSTOMER_INSIGHTS!$B$19:$E$19</c:f>
              <c:numCache>
                <c:formatCode>_ [$₹-4009]\ * #,##0.00_ ;_ [$₹-4009]\ * \-#,##0.00_ ;_ [$₹-4009]\ * "-"??_ ;_ @_ </c:formatCode>
                <c:ptCount val="4"/>
                <c:pt idx="0">
                  <c:v>98444</c:v>
                </c:pt>
                <c:pt idx="1">
                  <c:v>64462</c:v>
                </c:pt>
                <c:pt idx="2">
                  <c:v>14347</c:v>
                </c:pt>
                <c:pt idx="3">
                  <c:v>40141</c:v>
                </c:pt>
              </c:numCache>
            </c:numRef>
          </c:val>
          <c:extLst>
            <c:ext xmlns:c16="http://schemas.microsoft.com/office/drawing/2014/chart" uri="{C3380CC4-5D6E-409C-BE32-E72D297353CC}">
              <c16:uniqueId val="{00000000-C407-4F15-BDB7-3C7F26CC9085}"/>
            </c:ext>
          </c:extLst>
        </c:ser>
        <c:ser>
          <c:idx val="1"/>
          <c:order val="1"/>
          <c:tx>
            <c:strRef>
              <c:f>CUSTOMER_INSIGHTS!$A$20</c:f>
              <c:strCache>
                <c:ptCount val="1"/>
                <c:pt idx="0">
                  <c:v>Returning</c:v>
                </c:pt>
              </c:strCache>
            </c:strRef>
          </c:tx>
          <c:spPr>
            <a:solidFill>
              <a:schemeClr val="accent2"/>
            </a:solidFill>
            <a:ln>
              <a:noFill/>
            </a:ln>
            <a:effectLst/>
          </c:spPr>
          <c:invertIfNegative val="0"/>
          <c:cat>
            <c:strRef>
              <c:f>CUSTOMER_INSIGHTS!$B$18:$E$18</c:f>
              <c:strCache>
                <c:ptCount val="4"/>
                <c:pt idx="0">
                  <c:v>Electronics</c:v>
                </c:pt>
                <c:pt idx="1">
                  <c:v>Clothing</c:v>
                </c:pt>
                <c:pt idx="2">
                  <c:v>Groceries</c:v>
                </c:pt>
                <c:pt idx="3">
                  <c:v>Home &amp; Kitchen</c:v>
                </c:pt>
              </c:strCache>
            </c:strRef>
          </c:cat>
          <c:val>
            <c:numRef>
              <c:f>CUSTOMER_INSIGHTS!$B$20:$E$20</c:f>
              <c:numCache>
                <c:formatCode>_ [$₹-4009]\ * #,##0.00_ ;_ [$₹-4009]\ * \-#,##0.00_ ;_ [$₹-4009]\ * "-"??_ ;_ @_ </c:formatCode>
                <c:ptCount val="4"/>
                <c:pt idx="0">
                  <c:v>148473</c:v>
                </c:pt>
                <c:pt idx="1">
                  <c:v>95460.5</c:v>
                </c:pt>
                <c:pt idx="2">
                  <c:v>20529</c:v>
                </c:pt>
                <c:pt idx="3">
                  <c:v>54893.5</c:v>
                </c:pt>
              </c:numCache>
            </c:numRef>
          </c:val>
          <c:extLst>
            <c:ext xmlns:c16="http://schemas.microsoft.com/office/drawing/2014/chart" uri="{C3380CC4-5D6E-409C-BE32-E72D297353CC}">
              <c16:uniqueId val="{00000001-C407-4F15-BDB7-3C7F26CC9085}"/>
            </c:ext>
          </c:extLst>
        </c:ser>
        <c:ser>
          <c:idx val="2"/>
          <c:order val="2"/>
          <c:tx>
            <c:strRef>
              <c:f>CUSTOMER_INSIGHTS!$A$21</c:f>
              <c:strCache>
                <c:ptCount val="1"/>
                <c:pt idx="0">
                  <c:v>Loyal</c:v>
                </c:pt>
              </c:strCache>
            </c:strRef>
          </c:tx>
          <c:spPr>
            <a:solidFill>
              <a:schemeClr val="accent3"/>
            </a:solidFill>
            <a:ln>
              <a:noFill/>
            </a:ln>
            <a:effectLst/>
          </c:spPr>
          <c:invertIfNegative val="0"/>
          <c:cat>
            <c:strRef>
              <c:f>CUSTOMER_INSIGHTS!$B$18:$E$18</c:f>
              <c:strCache>
                <c:ptCount val="4"/>
                <c:pt idx="0">
                  <c:v>Electronics</c:v>
                </c:pt>
                <c:pt idx="1">
                  <c:v>Clothing</c:v>
                </c:pt>
                <c:pt idx="2">
                  <c:v>Groceries</c:v>
                </c:pt>
                <c:pt idx="3">
                  <c:v>Home &amp; Kitchen</c:v>
                </c:pt>
              </c:strCache>
            </c:strRef>
          </c:cat>
          <c:val>
            <c:numRef>
              <c:f>CUSTOMER_INSIGHTS!$B$21:$E$21</c:f>
              <c:numCache>
                <c:formatCode>_ [$₹-4009]\ * #,##0.00_ ;_ [$₹-4009]\ * \-#,##0.00_ ;_ [$₹-4009]\ * "-"??_ ;_ @_ </c:formatCode>
                <c:ptCount val="4"/>
                <c:pt idx="0">
                  <c:v>80302</c:v>
                </c:pt>
                <c:pt idx="1">
                  <c:v>57044</c:v>
                </c:pt>
                <c:pt idx="2">
                  <c:v>8467.5</c:v>
                </c:pt>
                <c:pt idx="3">
                  <c:v>32669.5</c:v>
                </c:pt>
              </c:numCache>
            </c:numRef>
          </c:val>
          <c:extLst>
            <c:ext xmlns:c16="http://schemas.microsoft.com/office/drawing/2014/chart" uri="{C3380CC4-5D6E-409C-BE32-E72D297353CC}">
              <c16:uniqueId val="{00000002-C407-4F15-BDB7-3C7F26CC9085}"/>
            </c:ext>
          </c:extLst>
        </c:ser>
        <c:dLbls>
          <c:showLegendKey val="0"/>
          <c:showVal val="0"/>
          <c:showCatName val="0"/>
          <c:showSerName val="0"/>
          <c:showPercent val="0"/>
          <c:showBubbleSize val="0"/>
        </c:dLbls>
        <c:gapWidth val="150"/>
        <c:overlap val="100"/>
        <c:axId val="1770220399"/>
        <c:axId val="1770025487"/>
      </c:barChart>
      <c:catAx>
        <c:axId val="1770220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025487"/>
        <c:crosses val="autoZero"/>
        <c:auto val="1"/>
        <c:lblAlgn val="ctr"/>
        <c:lblOffset val="100"/>
        <c:noMultiLvlLbl val="0"/>
      </c:catAx>
      <c:valAx>
        <c:axId val="177002548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220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Store Performance Radar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tx>
            <c:strRef>
              <c:f>STORE_COMPARISON!$A$13</c:f>
              <c:strCache>
                <c:ptCount val="1"/>
                <c:pt idx="0">
                  <c:v>Revenue Score</c:v>
                </c:pt>
              </c:strCache>
            </c:strRef>
          </c:tx>
          <c:spPr>
            <a:solidFill>
              <a:schemeClr val="accent1"/>
            </a:solidFill>
            <a:ln>
              <a:noFill/>
            </a:ln>
            <a:effectLst/>
          </c:spPr>
          <c:cat>
            <c:strRef>
              <c:f>STORE_COMPARISON!$B$12:$F$12</c:f>
              <c:strCache>
                <c:ptCount val="5"/>
                <c:pt idx="0">
                  <c:v>Aurangabad Square</c:v>
                </c:pt>
                <c:pt idx="1">
                  <c:v>Mumbai Central</c:v>
                </c:pt>
                <c:pt idx="2">
                  <c:v>Nagpur Hub</c:v>
                </c:pt>
                <c:pt idx="3">
                  <c:v>Nashik Point</c:v>
                </c:pt>
                <c:pt idx="4">
                  <c:v>Pune West</c:v>
                </c:pt>
              </c:strCache>
            </c:strRef>
          </c:cat>
          <c:val>
            <c:numRef>
              <c:f>STORE_COMPARISON!$B$13:$F$13</c:f>
              <c:numCache>
                <c:formatCode>0.000</c:formatCode>
                <c:ptCount val="5"/>
                <c:pt idx="0">
                  <c:v>0.86521904554842921</c:v>
                </c:pt>
                <c:pt idx="1">
                  <c:v>1</c:v>
                </c:pt>
                <c:pt idx="2">
                  <c:v>0.90545711490379388</c:v>
                </c:pt>
                <c:pt idx="3">
                  <c:v>0.71935536471355577</c:v>
                </c:pt>
                <c:pt idx="4">
                  <c:v>0.72797043156864871</c:v>
                </c:pt>
              </c:numCache>
            </c:numRef>
          </c:val>
          <c:extLst>
            <c:ext xmlns:c16="http://schemas.microsoft.com/office/drawing/2014/chart" uri="{C3380CC4-5D6E-409C-BE32-E72D297353CC}">
              <c16:uniqueId val="{00000000-3D64-44E4-AB7F-C42685064B80}"/>
            </c:ext>
          </c:extLst>
        </c:ser>
        <c:ser>
          <c:idx val="1"/>
          <c:order val="1"/>
          <c:tx>
            <c:strRef>
              <c:f>STORE_COMPARISON!$A$14</c:f>
              <c:strCache>
                <c:ptCount val="1"/>
                <c:pt idx="0">
                  <c:v>Profit Margin Score</c:v>
                </c:pt>
              </c:strCache>
            </c:strRef>
          </c:tx>
          <c:spPr>
            <a:solidFill>
              <a:schemeClr val="accent2"/>
            </a:solidFill>
            <a:ln>
              <a:noFill/>
            </a:ln>
            <a:effectLst/>
          </c:spPr>
          <c:cat>
            <c:strRef>
              <c:f>STORE_COMPARISON!$B$12:$F$12</c:f>
              <c:strCache>
                <c:ptCount val="5"/>
                <c:pt idx="0">
                  <c:v>Aurangabad Square</c:v>
                </c:pt>
                <c:pt idx="1">
                  <c:v>Mumbai Central</c:v>
                </c:pt>
                <c:pt idx="2">
                  <c:v>Nagpur Hub</c:v>
                </c:pt>
                <c:pt idx="3">
                  <c:v>Nashik Point</c:v>
                </c:pt>
                <c:pt idx="4">
                  <c:v>Pune West</c:v>
                </c:pt>
              </c:strCache>
            </c:strRef>
          </c:cat>
          <c:val>
            <c:numRef>
              <c:f>STORE_COMPARISON!$B$14:$F$14</c:f>
              <c:numCache>
                <c:formatCode>0.000</c:formatCode>
                <c:ptCount val="5"/>
                <c:pt idx="0">
                  <c:v>1</c:v>
                </c:pt>
                <c:pt idx="1">
                  <c:v>0.86324786324786329</c:v>
                </c:pt>
                <c:pt idx="2">
                  <c:v>0.95726495726495731</c:v>
                </c:pt>
                <c:pt idx="3">
                  <c:v>0.74358974358974361</c:v>
                </c:pt>
                <c:pt idx="4">
                  <c:v>0.70940170940170943</c:v>
                </c:pt>
              </c:numCache>
            </c:numRef>
          </c:val>
          <c:extLst>
            <c:ext xmlns:c16="http://schemas.microsoft.com/office/drawing/2014/chart" uri="{C3380CC4-5D6E-409C-BE32-E72D297353CC}">
              <c16:uniqueId val="{00000001-3D64-44E4-AB7F-C42685064B80}"/>
            </c:ext>
          </c:extLst>
        </c:ser>
        <c:ser>
          <c:idx val="2"/>
          <c:order val="2"/>
          <c:tx>
            <c:strRef>
              <c:f>STORE_COMPARISON!$A$15</c:f>
              <c:strCache>
                <c:ptCount val="1"/>
                <c:pt idx="0">
                  <c:v>Order Volume Score</c:v>
                </c:pt>
              </c:strCache>
            </c:strRef>
          </c:tx>
          <c:spPr>
            <a:solidFill>
              <a:schemeClr val="accent3"/>
            </a:solidFill>
            <a:ln>
              <a:noFill/>
            </a:ln>
            <a:effectLst/>
          </c:spPr>
          <c:cat>
            <c:strRef>
              <c:f>STORE_COMPARISON!$B$12:$F$12</c:f>
              <c:strCache>
                <c:ptCount val="5"/>
                <c:pt idx="0">
                  <c:v>Aurangabad Square</c:v>
                </c:pt>
                <c:pt idx="1">
                  <c:v>Mumbai Central</c:v>
                </c:pt>
                <c:pt idx="2">
                  <c:v>Nagpur Hub</c:v>
                </c:pt>
                <c:pt idx="3">
                  <c:v>Nashik Point</c:v>
                </c:pt>
                <c:pt idx="4">
                  <c:v>Pune West</c:v>
                </c:pt>
              </c:strCache>
            </c:strRef>
          </c:cat>
          <c:val>
            <c:numRef>
              <c:f>STORE_COMPARISON!$B$15:$F$15</c:f>
              <c:numCache>
                <c:formatCode>0.000</c:formatCode>
                <c:ptCount val="5"/>
                <c:pt idx="0">
                  <c:v>0.74689849231103711</c:v>
                </c:pt>
                <c:pt idx="1">
                  <c:v>1</c:v>
                </c:pt>
                <c:pt idx="2">
                  <c:v>0.81652829111859981</c:v>
                </c:pt>
                <c:pt idx="3">
                  <c:v>0.83511369926516243</c:v>
                </c:pt>
                <c:pt idx="4">
                  <c:v>0.8858435372100425</c:v>
                </c:pt>
              </c:numCache>
            </c:numRef>
          </c:val>
          <c:extLst>
            <c:ext xmlns:c16="http://schemas.microsoft.com/office/drawing/2014/chart" uri="{C3380CC4-5D6E-409C-BE32-E72D297353CC}">
              <c16:uniqueId val="{00000002-3D64-44E4-AB7F-C42685064B80}"/>
            </c:ext>
          </c:extLst>
        </c:ser>
        <c:ser>
          <c:idx val="3"/>
          <c:order val="3"/>
          <c:tx>
            <c:strRef>
              <c:f>STORE_COMPARISON!$A$16</c:f>
              <c:strCache>
                <c:ptCount val="1"/>
                <c:pt idx="0">
                  <c:v>Avg Order Value Score</c:v>
                </c:pt>
              </c:strCache>
            </c:strRef>
          </c:tx>
          <c:spPr>
            <a:solidFill>
              <a:schemeClr val="accent4"/>
            </a:solidFill>
            <a:ln>
              <a:noFill/>
            </a:ln>
            <a:effectLst/>
          </c:spPr>
          <c:cat>
            <c:strRef>
              <c:f>STORE_COMPARISON!$B$12:$F$12</c:f>
              <c:strCache>
                <c:ptCount val="5"/>
                <c:pt idx="0">
                  <c:v>Aurangabad Square</c:v>
                </c:pt>
                <c:pt idx="1">
                  <c:v>Mumbai Central</c:v>
                </c:pt>
                <c:pt idx="2">
                  <c:v>Nagpur Hub</c:v>
                </c:pt>
                <c:pt idx="3">
                  <c:v>Nashik Point</c:v>
                </c:pt>
                <c:pt idx="4">
                  <c:v>Pune West</c:v>
                </c:pt>
              </c:strCache>
            </c:strRef>
          </c:cat>
          <c:val>
            <c:numRef>
              <c:f>STORE_COMPARISON!$B$16:$F$16</c:f>
              <c:numCache>
                <c:formatCode>0.000</c:formatCode>
                <c:ptCount val="5"/>
                <c:pt idx="0">
                  <c:v>0.9460876182193716</c:v>
                </c:pt>
                <c:pt idx="1">
                  <c:v>0.9658119658119656</c:v>
                </c:pt>
                <c:pt idx="2">
                  <c:v>0.95149908527775695</c:v>
                </c:pt>
                <c:pt idx="3">
                  <c:v>0.82363958178285801</c:v>
                </c:pt>
                <c:pt idx="4">
                  <c:v>0.81853859997788669</c:v>
                </c:pt>
              </c:numCache>
            </c:numRef>
          </c:val>
          <c:extLst>
            <c:ext xmlns:c16="http://schemas.microsoft.com/office/drawing/2014/chart" uri="{C3380CC4-5D6E-409C-BE32-E72D297353CC}">
              <c16:uniqueId val="{00000003-3D64-44E4-AB7F-C42685064B80}"/>
            </c:ext>
          </c:extLst>
        </c:ser>
        <c:ser>
          <c:idx val="4"/>
          <c:order val="4"/>
          <c:tx>
            <c:strRef>
              <c:f>STORE_COMPARISON!$A$17</c:f>
              <c:strCache>
                <c:ptCount val="1"/>
                <c:pt idx="0">
                  <c:v>Overall Score</c:v>
                </c:pt>
              </c:strCache>
            </c:strRef>
          </c:tx>
          <c:spPr>
            <a:solidFill>
              <a:schemeClr val="accent5"/>
            </a:solidFill>
            <a:ln>
              <a:noFill/>
            </a:ln>
            <a:effectLst/>
          </c:spPr>
          <c:cat>
            <c:strRef>
              <c:f>STORE_COMPARISON!$B$12:$F$12</c:f>
              <c:strCache>
                <c:ptCount val="5"/>
                <c:pt idx="0">
                  <c:v>Aurangabad Square</c:v>
                </c:pt>
                <c:pt idx="1">
                  <c:v>Mumbai Central</c:v>
                </c:pt>
                <c:pt idx="2">
                  <c:v>Nagpur Hub</c:v>
                </c:pt>
                <c:pt idx="3">
                  <c:v>Nashik Point</c:v>
                </c:pt>
                <c:pt idx="4">
                  <c:v>Pune West</c:v>
                </c:pt>
              </c:strCache>
            </c:strRef>
          </c:cat>
          <c:val>
            <c:numRef>
              <c:f>STORE_COMPARISON!$B$17:$F$17</c:f>
              <c:numCache>
                <c:formatCode>0.000</c:formatCode>
                <c:ptCount val="5"/>
                <c:pt idx="0">
                  <c:v>0.9460876182193716</c:v>
                </c:pt>
                <c:pt idx="1">
                  <c:v>0.9658119658119656</c:v>
                </c:pt>
                <c:pt idx="2">
                  <c:v>0.95149908527775695</c:v>
                </c:pt>
                <c:pt idx="3">
                  <c:v>0.82363958178285801</c:v>
                </c:pt>
                <c:pt idx="4">
                  <c:v>0.81853859997788669</c:v>
                </c:pt>
              </c:numCache>
            </c:numRef>
          </c:val>
          <c:extLst>
            <c:ext xmlns:c16="http://schemas.microsoft.com/office/drawing/2014/chart" uri="{C3380CC4-5D6E-409C-BE32-E72D297353CC}">
              <c16:uniqueId val="{00000004-3D64-44E4-AB7F-C42685064B80}"/>
            </c:ext>
          </c:extLst>
        </c:ser>
        <c:dLbls>
          <c:showLegendKey val="0"/>
          <c:showVal val="0"/>
          <c:showCatName val="0"/>
          <c:showSerName val="0"/>
          <c:showPercent val="0"/>
          <c:showBubbleSize val="0"/>
        </c:dLbls>
        <c:axId val="405688960"/>
        <c:axId val="405691840"/>
      </c:radarChart>
      <c:catAx>
        <c:axId val="40568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691840"/>
        <c:crosses val="autoZero"/>
        <c:auto val="1"/>
        <c:lblAlgn val="ctr"/>
        <c:lblOffset val="100"/>
        <c:noMultiLvlLbl val="0"/>
      </c:catAx>
      <c:valAx>
        <c:axId val="405691840"/>
        <c:scaling>
          <c:orientation val="minMax"/>
        </c:scaling>
        <c:delete val="1"/>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crossAx val="40568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CUSTOMER_INSIGHTS!A1"/><Relationship Id="rId2" Type="http://schemas.openxmlformats.org/officeDocument/2006/relationships/hyperlink" Target="#SALES_ANALYSIS!A1"/><Relationship Id="rId1" Type="http://schemas.openxmlformats.org/officeDocument/2006/relationships/hyperlink" Target="#EXEC_SUMMARY!A1"/><Relationship Id="rId6" Type="http://schemas.openxmlformats.org/officeDocument/2006/relationships/hyperlink" Target="#STORE_COMPARISON!A1"/><Relationship Id="rId5" Type="http://schemas.openxmlformats.org/officeDocument/2006/relationships/hyperlink" Target="#PnL!A1"/><Relationship Id="rId4" Type="http://schemas.openxmlformats.org/officeDocument/2006/relationships/hyperlink" Target="#INVENTORY!A1"/></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4</xdr:row>
      <xdr:rowOff>38100</xdr:rowOff>
    </xdr:from>
    <xdr:to>
      <xdr:col>3</xdr:col>
      <xdr:colOff>403860</xdr:colOff>
      <xdr:row>6</xdr:row>
      <xdr:rowOff>106680</xdr:rowOff>
    </xdr:to>
    <xdr:sp macro="" textlink="">
      <xdr:nvSpPr>
        <xdr:cNvPr id="2" name="Rectangle: Rounded Corners 1">
          <a:extLst>
            <a:ext uri="{FF2B5EF4-FFF2-40B4-BE49-F238E27FC236}">
              <a16:creationId xmlns:a16="http://schemas.microsoft.com/office/drawing/2014/main" id="{2073D500-A0E8-2C1C-FE25-4636423AF1C5}"/>
            </a:ext>
          </a:extLst>
        </xdr:cNvPr>
        <xdr:cNvSpPr/>
      </xdr:nvSpPr>
      <xdr:spPr>
        <a:xfrm>
          <a:off x="609600" y="1005840"/>
          <a:ext cx="1623060" cy="43434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0</xdr:col>
      <xdr:colOff>586740</xdr:colOff>
      <xdr:row>4</xdr:row>
      <xdr:rowOff>99060</xdr:rowOff>
    </xdr:from>
    <xdr:to>
      <xdr:col>3</xdr:col>
      <xdr:colOff>449580</xdr:colOff>
      <xdr:row>6</xdr:row>
      <xdr:rowOff>45720</xdr:rowOff>
    </xdr:to>
    <xdr:sp macro="" textlink="">
      <xdr:nvSpPr>
        <xdr:cNvPr id="9217" name="Text Box 1">
          <a:hlinkClick xmlns:r="http://schemas.openxmlformats.org/officeDocument/2006/relationships" r:id="rId1"/>
          <a:extLst>
            <a:ext uri="{FF2B5EF4-FFF2-40B4-BE49-F238E27FC236}">
              <a16:creationId xmlns:a16="http://schemas.microsoft.com/office/drawing/2014/main" id="{300F18E6-0C79-416D-B854-B6EC2B2E1C29}"/>
            </a:ext>
          </a:extLst>
        </xdr:cNvPr>
        <xdr:cNvSpPr txBox="1">
          <a:spLocks noChangeArrowheads="1"/>
        </xdr:cNvSpPr>
      </xdr:nvSpPr>
      <xdr:spPr bwMode="auto">
        <a:xfrm>
          <a:off x="586740" y="1066800"/>
          <a:ext cx="1691640" cy="312420"/>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200" b="0" i="0" u="none" strike="noStrike" baseline="0">
              <a:solidFill>
                <a:schemeClr val="bg1"/>
              </a:solidFill>
              <a:latin typeface="Calibri"/>
              <a:ea typeface="Calibri"/>
              <a:cs typeface="Calibri"/>
            </a:rPr>
            <a:t>📊 Executive Summary</a:t>
          </a:r>
        </a:p>
      </xdr:txBody>
    </xdr:sp>
    <xdr:clientData/>
  </xdr:twoCellAnchor>
  <xdr:twoCellAnchor>
    <xdr:from>
      <xdr:col>6</xdr:col>
      <xdr:colOff>7620</xdr:colOff>
      <xdr:row>3</xdr:row>
      <xdr:rowOff>175260</xdr:rowOff>
    </xdr:from>
    <xdr:to>
      <xdr:col>8</xdr:col>
      <xdr:colOff>327660</xdr:colOff>
      <xdr:row>6</xdr:row>
      <xdr:rowOff>83820</xdr:rowOff>
    </xdr:to>
    <xdr:sp macro="" textlink="">
      <xdr:nvSpPr>
        <xdr:cNvPr id="3" name="Rectangle: Rounded Corners 2">
          <a:extLst>
            <a:ext uri="{FF2B5EF4-FFF2-40B4-BE49-F238E27FC236}">
              <a16:creationId xmlns:a16="http://schemas.microsoft.com/office/drawing/2014/main" id="{C72143CE-F700-4AA1-97BE-F7CC8731C484}"/>
            </a:ext>
          </a:extLst>
        </xdr:cNvPr>
        <xdr:cNvSpPr/>
      </xdr:nvSpPr>
      <xdr:spPr>
        <a:xfrm>
          <a:off x="3665220" y="960120"/>
          <a:ext cx="1539240" cy="4572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6</xdr:col>
      <xdr:colOff>129540</xdr:colOff>
      <xdr:row>4</xdr:row>
      <xdr:rowOff>68580</xdr:rowOff>
    </xdr:from>
    <xdr:to>
      <xdr:col>8</xdr:col>
      <xdr:colOff>182880</xdr:colOff>
      <xdr:row>6</xdr:row>
      <xdr:rowOff>15240</xdr:rowOff>
    </xdr:to>
    <xdr:sp macro="" textlink="">
      <xdr:nvSpPr>
        <xdr:cNvPr id="4" name="Text Box 1">
          <a:hlinkClick xmlns:r="http://schemas.openxmlformats.org/officeDocument/2006/relationships" r:id="rId2"/>
          <a:extLst>
            <a:ext uri="{FF2B5EF4-FFF2-40B4-BE49-F238E27FC236}">
              <a16:creationId xmlns:a16="http://schemas.microsoft.com/office/drawing/2014/main" id="{16DF2B39-A95B-4EA6-84CB-61C2AFFD993F}"/>
            </a:ext>
          </a:extLst>
        </xdr:cNvPr>
        <xdr:cNvSpPr txBox="1">
          <a:spLocks noChangeArrowheads="1"/>
        </xdr:cNvSpPr>
      </xdr:nvSpPr>
      <xdr:spPr bwMode="auto">
        <a:xfrm>
          <a:off x="3787140" y="1036320"/>
          <a:ext cx="1272540" cy="312420"/>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200">
              <a:solidFill>
                <a:schemeClr val="bg1"/>
              </a:solidFill>
            </a:rPr>
            <a:t>📈 Sales Analysis</a:t>
          </a:r>
          <a:endParaRPr lang="en-IN" sz="1200" b="0" i="0" u="none" strike="noStrike" baseline="0">
            <a:solidFill>
              <a:schemeClr val="bg1"/>
            </a:solidFill>
            <a:latin typeface="Calibri"/>
            <a:ea typeface="Calibri"/>
            <a:cs typeface="Calibri"/>
          </a:endParaRPr>
        </a:p>
      </xdr:txBody>
    </xdr:sp>
    <xdr:clientData/>
  </xdr:twoCellAnchor>
  <xdr:twoCellAnchor>
    <xdr:from>
      <xdr:col>11</xdr:col>
      <xdr:colOff>205740</xdr:colOff>
      <xdr:row>4</xdr:row>
      <xdr:rowOff>0</xdr:rowOff>
    </xdr:from>
    <xdr:to>
      <xdr:col>14</xdr:col>
      <xdr:colOff>0</xdr:colOff>
      <xdr:row>6</xdr:row>
      <xdr:rowOff>114300</xdr:rowOff>
    </xdr:to>
    <xdr:sp macro="" textlink="">
      <xdr:nvSpPr>
        <xdr:cNvPr id="5" name="Rectangle: Rounded Corners 4">
          <a:extLst>
            <a:ext uri="{FF2B5EF4-FFF2-40B4-BE49-F238E27FC236}">
              <a16:creationId xmlns:a16="http://schemas.microsoft.com/office/drawing/2014/main" id="{278CB8BF-2047-4632-BF40-1D7E227F6030}"/>
            </a:ext>
          </a:extLst>
        </xdr:cNvPr>
        <xdr:cNvSpPr/>
      </xdr:nvSpPr>
      <xdr:spPr>
        <a:xfrm>
          <a:off x="6911340" y="967740"/>
          <a:ext cx="1623060" cy="48006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11</xdr:col>
      <xdr:colOff>274320</xdr:colOff>
      <xdr:row>4</xdr:row>
      <xdr:rowOff>68580</xdr:rowOff>
    </xdr:from>
    <xdr:to>
      <xdr:col>13</xdr:col>
      <xdr:colOff>579120</xdr:colOff>
      <xdr:row>6</xdr:row>
      <xdr:rowOff>15240</xdr:rowOff>
    </xdr:to>
    <xdr:sp macro="" textlink="">
      <xdr:nvSpPr>
        <xdr:cNvPr id="6" name="Text Box 1">
          <a:hlinkClick xmlns:r="http://schemas.openxmlformats.org/officeDocument/2006/relationships" r:id="rId3"/>
          <a:extLst>
            <a:ext uri="{FF2B5EF4-FFF2-40B4-BE49-F238E27FC236}">
              <a16:creationId xmlns:a16="http://schemas.microsoft.com/office/drawing/2014/main" id="{AF8CF41A-BAA4-4CD8-B462-AD7BEBAA045B}"/>
            </a:ext>
          </a:extLst>
        </xdr:cNvPr>
        <xdr:cNvSpPr txBox="1">
          <a:spLocks noChangeArrowheads="1"/>
        </xdr:cNvSpPr>
      </xdr:nvSpPr>
      <xdr:spPr bwMode="auto">
        <a:xfrm>
          <a:off x="6979920" y="1036320"/>
          <a:ext cx="1524000" cy="312420"/>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200">
              <a:solidFill>
                <a:schemeClr val="bg1"/>
              </a:solidFill>
            </a:rPr>
            <a:t>👥 Customer Insights</a:t>
          </a:r>
          <a:endParaRPr lang="en-IN" sz="1200" b="0" i="0" u="none" strike="noStrike" baseline="0">
            <a:solidFill>
              <a:schemeClr val="bg1"/>
            </a:solidFill>
            <a:latin typeface="Calibri"/>
            <a:ea typeface="Calibri"/>
            <a:cs typeface="Calibri"/>
          </a:endParaRPr>
        </a:p>
      </xdr:txBody>
    </xdr:sp>
    <xdr:clientData/>
  </xdr:twoCellAnchor>
  <xdr:twoCellAnchor>
    <xdr:from>
      <xdr:col>3</xdr:col>
      <xdr:colOff>236220</xdr:colOff>
      <xdr:row>8</xdr:row>
      <xdr:rowOff>83820</xdr:rowOff>
    </xdr:from>
    <xdr:to>
      <xdr:col>6</xdr:col>
      <xdr:colOff>30480</xdr:colOff>
      <xdr:row>10</xdr:row>
      <xdr:rowOff>129540</xdr:rowOff>
    </xdr:to>
    <xdr:sp macro="" textlink="">
      <xdr:nvSpPr>
        <xdr:cNvPr id="8" name="Rectangle: Rounded Corners 7">
          <a:extLst>
            <a:ext uri="{FF2B5EF4-FFF2-40B4-BE49-F238E27FC236}">
              <a16:creationId xmlns:a16="http://schemas.microsoft.com/office/drawing/2014/main" id="{26A93B42-C386-4B11-8CEF-D6F82FF82209}"/>
            </a:ext>
          </a:extLst>
        </xdr:cNvPr>
        <xdr:cNvSpPr/>
      </xdr:nvSpPr>
      <xdr:spPr>
        <a:xfrm>
          <a:off x="2065020" y="1783080"/>
          <a:ext cx="1623060" cy="41148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8</xdr:col>
      <xdr:colOff>426720</xdr:colOff>
      <xdr:row>8</xdr:row>
      <xdr:rowOff>91440</xdr:rowOff>
    </xdr:from>
    <xdr:to>
      <xdr:col>11</xdr:col>
      <xdr:colOff>24164</xdr:colOff>
      <xdr:row>10</xdr:row>
      <xdr:rowOff>137160</xdr:rowOff>
    </xdr:to>
    <xdr:sp macro="" textlink="">
      <xdr:nvSpPr>
        <xdr:cNvPr id="9" name="Rectangle: Rounded Corners 8">
          <a:extLst>
            <a:ext uri="{FF2B5EF4-FFF2-40B4-BE49-F238E27FC236}">
              <a16:creationId xmlns:a16="http://schemas.microsoft.com/office/drawing/2014/main" id="{C49A9819-19C1-4414-ADF7-3BD92B7DADE0}"/>
            </a:ext>
          </a:extLst>
        </xdr:cNvPr>
        <xdr:cNvSpPr/>
      </xdr:nvSpPr>
      <xdr:spPr>
        <a:xfrm>
          <a:off x="5303520" y="1790700"/>
          <a:ext cx="1426244" cy="41148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6</xdr:col>
      <xdr:colOff>0</xdr:colOff>
      <xdr:row>13</xdr:row>
      <xdr:rowOff>7620</xdr:rowOff>
    </xdr:from>
    <xdr:to>
      <xdr:col>8</xdr:col>
      <xdr:colOff>403860</xdr:colOff>
      <xdr:row>15</xdr:row>
      <xdr:rowOff>76200</xdr:rowOff>
    </xdr:to>
    <xdr:sp macro="" textlink="">
      <xdr:nvSpPr>
        <xdr:cNvPr id="10" name="Rectangle: Rounded Corners 9">
          <a:extLst>
            <a:ext uri="{FF2B5EF4-FFF2-40B4-BE49-F238E27FC236}">
              <a16:creationId xmlns:a16="http://schemas.microsoft.com/office/drawing/2014/main" id="{C3F2E314-7358-4414-979F-CDB4065EE60B}"/>
            </a:ext>
          </a:extLst>
        </xdr:cNvPr>
        <xdr:cNvSpPr/>
      </xdr:nvSpPr>
      <xdr:spPr>
        <a:xfrm>
          <a:off x="3657600" y="2621280"/>
          <a:ext cx="1623060" cy="43434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3</xdr:col>
      <xdr:colOff>220980</xdr:colOff>
      <xdr:row>8</xdr:row>
      <xdr:rowOff>129540</xdr:rowOff>
    </xdr:from>
    <xdr:to>
      <xdr:col>6</xdr:col>
      <xdr:colOff>83820</xdr:colOff>
      <xdr:row>10</xdr:row>
      <xdr:rowOff>76200</xdr:rowOff>
    </xdr:to>
    <xdr:sp macro="" textlink="">
      <xdr:nvSpPr>
        <xdr:cNvPr id="12" name="Text Box 1">
          <a:hlinkClick xmlns:r="http://schemas.openxmlformats.org/officeDocument/2006/relationships" r:id="rId4"/>
          <a:extLst>
            <a:ext uri="{FF2B5EF4-FFF2-40B4-BE49-F238E27FC236}">
              <a16:creationId xmlns:a16="http://schemas.microsoft.com/office/drawing/2014/main" id="{F63171EE-6F06-4C3C-AEC8-710E6B1F4DCF}"/>
            </a:ext>
          </a:extLst>
        </xdr:cNvPr>
        <xdr:cNvSpPr txBox="1">
          <a:spLocks noChangeArrowheads="1"/>
        </xdr:cNvSpPr>
      </xdr:nvSpPr>
      <xdr:spPr bwMode="auto">
        <a:xfrm>
          <a:off x="2049780" y="1828800"/>
          <a:ext cx="1691640" cy="312420"/>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200">
              <a:solidFill>
                <a:schemeClr val="bg1"/>
              </a:solidFill>
            </a:rPr>
            <a:t>📦 Inventory Tracker</a:t>
          </a:r>
          <a:endParaRPr lang="en-IN" sz="1200" b="0" i="0" u="none" strike="noStrike" baseline="0">
            <a:solidFill>
              <a:schemeClr val="bg1"/>
            </a:solidFill>
            <a:latin typeface="Calibri"/>
            <a:ea typeface="Calibri"/>
            <a:cs typeface="Calibri"/>
          </a:endParaRPr>
        </a:p>
      </xdr:txBody>
    </xdr:sp>
    <xdr:clientData/>
  </xdr:twoCellAnchor>
  <xdr:twoCellAnchor>
    <xdr:from>
      <xdr:col>8</xdr:col>
      <xdr:colOff>541020</xdr:colOff>
      <xdr:row>8</xdr:row>
      <xdr:rowOff>152400</xdr:rowOff>
    </xdr:from>
    <xdr:to>
      <xdr:col>10</xdr:col>
      <xdr:colOff>518160</xdr:colOff>
      <xdr:row>10</xdr:row>
      <xdr:rowOff>99060</xdr:rowOff>
    </xdr:to>
    <xdr:sp macro="" textlink="">
      <xdr:nvSpPr>
        <xdr:cNvPr id="13" name="Text Box 1">
          <a:hlinkClick xmlns:r="http://schemas.openxmlformats.org/officeDocument/2006/relationships" r:id="rId5"/>
          <a:extLst>
            <a:ext uri="{FF2B5EF4-FFF2-40B4-BE49-F238E27FC236}">
              <a16:creationId xmlns:a16="http://schemas.microsoft.com/office/drawing/2014/main" id="{60D5AA87-2E71-4FC1-B752-1CD682DF5E3B}"/>
            </a:ext>
          </a:extLst>
        </xdr:cNvPr>
        <xdr:cNvSpPr txBox="1">
          <a:spLocks noChangeArrowheads="1"/>
        </xdr:cNvSpPr>
      </xdr:nvSpPr>
      <xdr:spPr bwMode="auto">
        <a:xfrm>
          <a:off x="5417820" y="1851660"/>
          <a:ext cx="1196340" cy="312420"/>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200">
              <a:solidFill>
                <a:schemeClr val="bg1"/>
              </a:solidFill>
            </a:rPr>
            <a:t>💰 Profit &amp; Loss</a:t>
          </a:r>
          <a:endParaRPr lang="en-IN" sz="1200" b="0" i="0" u="none" strike="noStrike" baseline="0">
            <a:solidFill>
              <a:schemeClr val="bg1"/>
            </a:solidFill>
            <a:latin typeface="Calibri"/>
            <a:ea typeface="Calibri"/>
            <a:cs typeface="Calibri"/>
          </a:endParaRPr>
        </a:p>
      </xdr:txBody>
    </xdr:sp>
    <xdr:clientData/>
  </xdr:twoCellAnchor>
  <xdr:twoCellAnchor>
    <xdr:from>
      <xdr:col>6</xdr:col>
      <xdr:colOff>45720</xdr:colOff>
      <xdr:row>13</xdr:row>
      <xdr:rowOff>76200</xdr:rowOff>
    </xdr:from>
    <xdr:to>
      <xdr:col>8</xdr:col>
      <xdr:colOff>518160</xdr:colOff>
      <xdr:row>15</xdr:row>
      <xdr:rowOff>22860</xdr:rowOff>
    </xdr:to>
    <xdr:sp macro="" textlink="">
      <xdr:nvSpPr>
        <xdr:cNvPr id="14" name="Text Box 1">
          <a:hlinkClick xmlns:r="http://schemas.openxmlformats.org/officeDocument/2006/relationships" r:id="rId6"/>
          <a:extLst>
            <a:ext uri="{FF2B5EF4-FFF2-40B4-BE49-F238E27FC236}">
              <a16:creationId xmlns:a16="http://schemas.microsoft.com/office/drawing/2014/main" id="{3252F022-25F6-42CC-8387-2DF51DC04FEB}"/>
            </a:ext>
          </a:extLst>
        </xdr:cNvPr>
        <xdr:cNvSpPr txBox="1">
          <a:spLocks noChangeArrowheads="1"/>
        </xdr:cNvSpPr>
      </xdr:nvSpPr>
      <xdr:spPr bwMode="auto">
        <a:xfrm>
          <a:off x="3703320" y="2689860"/>
          <a:ext cx="1691640" cy="312420"/>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200">
              <a:solidFill>
                <a:schemeClr val="bg1"/>
              </a:solidFill>
            </a:rPr>
            <a:t>🏆 Store Comparison</a:t>
          </a:r>
          <a:endParaRPr lang="en-IN" sz="1200" b="0" i="0" u="none" strike="noStrike" baseline="0">
            <a:solidFill>
              <a:schemeClr val="bg1"/>
            </a:solidFill>
            <a:latin typeface="Calibri"/>
            <a:ea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22860</xdr:colOff>
      <xdr:row>2</xdr:row>
      <xdr:rowOff>171450</xdr:rowOff>
    </xdr:from>
    <xdr:to>
      <xdr:col>13</xdr:col>
      <xdr:colOff>586740</xdr:colOff>
      <xdr:row>15</xdr:row>
      <xdr:rowOff>167268</xdr:rowOff>
    </xdr:to>
    <xdr:graphicFrame macro="">
      <xdr:nvGraphicFramePr>
        <xdr:cNvPr id="2" name="Chart 1">
          <a:extLst>
            <a:ext uri="{FF2B5EF4-FFF2-40B4-BE49-F238E27FC236}">
              <a16:creationId xmlns:a16="http://schemas.microsoft.com/office/drawing/2014/main" id="{95F75B60-9B9A-47CF-031E-F326B00594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xdr:colOff>
      <xdr:row>21</xdr:row>
      <xdr:rowOff>22860</xdr:rowOff>
    </xdr:from>
    <xdr:to>
      <xdr:col>13</xdr:col>
      <xdr:colOff>594360</xdr:colOff>
      <xdr:row>32</xdr:row>
      <xdr:rowOff>147962</xdr:rowOff>
    </xdr:to>
    <xdr:graphicFrame macro="">
      <xdr:nvGraphicFramePr>
        <xdr:cNvPr id="3" name="Chart 2">
          <a:extLst>
            <a:ext uri="{FF2B5EF4-FFF2-40B4-BE49-F238E27FC236}">
              <a16:creationId xmlns:a16="http://schemas.microsoft.com/office/drawing/2014/main" id="{C6C19D13-3DE8-4620-BDD1-3E8F36C95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399496</xdr:colOff>
      <xdr:row>16</xdr:row>
      <xdr:rowOff>15907</xdr:rowOff>
    </xdr:from>
    <xdr:to>
      <xdr:col>12</xdr:col>
      <xdr:colOff>399496</xdr:colOff>
      <xdr:row>20</xdr:row>
      <xdr:rowOff>177997</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703C50C2-A244-4CF4-AC7A-8F483C5B4B4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645981" y="3448606"/>
              <a:ext cx="3033204" cy="901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289190</xdr:colOff>
      <xdr:row>16</xdr:row>
      <xdr:rowOff>34697</xdr:rowOff>
    </xdr:from>
    <xdr:to>
      <xdr:col>6</xdr:col>
      <xdr:colOff>200709</xdr:colOff>
      <xdr:row>21</xdr:row>
      <xdr:rowOff>4217</xdr:rowOff>
    </xdr:to>
    <mc:AlternateContent xmlns:mc="http://schemas.openxmlformats.org/markup-compatibility/2006">
      <mc:Choice xmlns:a14="http://schemas.microsoft.com/office/drawing/2010/main" Requires="a14">
        <xdr:graphicFrame macro="">
          <xdr:nvGraphicFramePr>
            <xdr:cNvPr id="5" name="Store_Name">
              <a:extLst>
                <a:ext uri="{FF2B5EF4-FFF2-40B4-BE49-F238E27FC236}">
                  <a16:creationId xmlns:a16="http://schemas.microsoft.com/office/drawing/2014/main" id="{A70D5E06-0525-4508-8604-55D646DCC750}"/>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dr:sp macro="" textlink="">
          <xdr:nvSpPr>
            <xdr:cNvPr id="0" name=""/>
            <xdr:cNvSpPr>
              <a:spLocks noTextEdit="1"/>
            </xdr:cNvSpPr>
          </xdr:nvSpPr>
          <xdr:spPr>
            <a:xfrm>
              <a:off x="895831" y="3467396"/>
              <a:ext cx="2944723" cy="8942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38100</xdr:colOff>
      <xdr:row>3</xdr:row>
      <xdr:rowOff>49530</xdr:rowOff>
    </xdr:from>
    <xdr:to>
      <xdr:col>13</xdr:col>
      <xdr:colOff>525780</xdr:colOff>
      <xdr:row>15</xdr:row>
      <xdr:rowOff>91440</xdr:rowOff>
    </xdr:to>
    <xdr:graphicFrame macro="">
      <xdr:nvGraphicFramePr>
        <xdr:cNvPr id="2" name="Chart 1">
          <a:extLst>
            <a:ext uri="{FF2B5EF4-FFF2-40B4-BE49-F238E27FC236}">
              <a16:creationId xmlns:a16="http://schemas.microsoft.com/office/drawing/2014/main" id="{9BA8EE54-5ED5-0CE1-22B5-FA0B926AD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17</xdr:row>
      <xdr:rowOff>3810</xdr:rowOff>
    </xdr:from>
    <xdr:to>
      <xdr:col>13</xdr:col>
      <xdr:colOff>563880</xdr:colOff>
      <xdr:row>30</xdr:row>
      <xdr:rowOff>15240</xdr:rowOff>
    </xdr:to>
    <xdr:graphicFrame macro="">
      <xdr:nvGraphicFramePr>
        <xdr:cNvPr id="3" name="Chart 2">
          <a:extLst>
            <a:ext uri="{FF2B5EF4-FFF2-40B4-BE49-F238E27FC236}">
              <a16:creationId xmlns:a16="http://schemas.microsoft.com/office/drawing/2014/main" id="{49A5372B-9394-9E61-9684-8B27CF47E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18361</xdr:colOff>
      <xdr:row>18</xdr:row>
      <xdr:rowOff>28460</xdr:rowOff>
    </xdr:from>
    <xdr:to>
      <xdr:col>6</xdr:col>
      <xdr:colOff>569205</xdr:colOff>
      <xdr:row>34</xdr:row>
      <xdr:rowOff>183614</xdr:rowOff>
    </xdr:to>
    <xdr:graphicFrame macro="">
      <xdr:nvGraphicFramePr>
        <xdr:cNvPr id="2" name="Chart 1">
          <a:extLst>
            <a:ext uri="{FF2B5EF4-FFF2-40B4-BE49-F238E27FC236}">
              <a16:creationId xmlns:a16="http://schemas.microsoft.com/office/drawing/2014/main" id="{16CD2E4A-7B7B-D343-106B-67421AFB5B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h ra" refreshedDate="46168.864950694442" createdVersion="8" refreshedVersion="8" minRefreshableVersion="3" recordCount="500" xr:uid="{A2DD43FB-84D0-4157-8027-A48ECE7A958A}">
  <cacheSource type="worksheet">
    <worksheetSource ref="A1:N501" sheet="RAW_DATA"/>
  </cacheSource>
  <cacheFields count="16">
    <cacheField name="Order_ID" numFmtId="0">
      <sharedItems/>
    </cacheField>
    <cacheField name="Order_Date" numFmtId="164">
      <sharedItems containsSemiMixedTypes="0" containsNonDate="0" containsDate="1" containsString="0" minDate="2024-01-02T00:00:00" maxDate="2025-01-01T00:00:00" count="273">
        <d v="2024-01-02T00:00:00"/>
        <d v="2024-01-03T00:00:00"/>
        <d v="2024-01-05T00:00:00"/>
        <d v="2024-01-07T00:00:00"/>
        <d v="2024-01-11T00:00:00"/>
        <d v="2024-01-12T00:00:00"/>
        <d v="2024-01-14T00:00:00"/>
        <d v="2024-01-15T00:00:00"/>
        <d v="2024-01-16T00:00:00"/>
        <d v="2024-01-17T00:00:00"/>
        <d v="2024-01-18T00:00:00"/>
        <d v="2024-01-19T00:00:00"/>
        <d v="2024-01-21T00:00:00"/>
        <d v="2024-01-22T00:00:00"/>
        <d v="2024-01-23T00:00:00"/>
        <d v="2024-01-24T00:00:00"/>
        <d v="2024-01-26T00:00:00"/>
        <d v="2024-01-27T00:00:00"/>
        <d v="2024-01-28T00:00:00"/>
        <d v="2024-01-29T00:00:00"/>
        <d v="2024-01-31T00:00:00"/>
        <d v="2024-02-01T00:00:00"/>
        <d v="2024-02-02T00:00:00"/>
        <d v="2024-02-04T00:00:00"/>
        <d v="2024-02-05T00:00:00"/>
        <d v="2024-02-06T00:00:00"/>
        <d v="2024-02-07T00:00:00"/>
        <d v="2024-02-08T00:00:00"/>
        <d v="2024-02-09T00:00:00"/>
        <d v="2024-02-10T00:00:00"/>
        <d v="2024-02-11T00:00:00"/>
        <d v="2024-02-13T00:00:00"/>
        <d v="2024-02-14T00:00:00"/>
        <d v="2024-02-15T00:00:00"/>
        <d v="2024-02-16T00:00:00"/>
        <d v="2024-02-17T00:00:00"/>
        <d v="2024-02-18T00:00:00"/>
        <d v="2024-02-20T00:00:00"/>
        <d v="2024-02-21T00:00:00"/>
        <d v="2024-02-22T00:00:00"/>
        <d v="2024-02-23T00:00:00"/>
        <d v="2024-02-24T00:00:00"/>
        <d v="2024-02-25T00:00:00"/>
        <d v="2024-02-26T00:00:00"/>
        <d v="2024-02-28T00:00:00"/>
        <d v="2024-02-29T00:00:00"/>
        <d v="2024-03-02T00:00:00"/>
        <d v="2024-03-03T00:00:00"/>
        <d v="2024-03-04T00:00:00"/>
        <d v="2024-03-05T00:00:00"/>
        <d v="2024-03-07T00:00:00"/>
        <d v="2024-03-08T00:00:00"/>
        <d v="2024-03-10T00:00:00"/>
        <d v="2024-03-11T00:00:00"/>
        <d v="2024-03-12T00:00:00"/>
        <d v="2024-03-13T00:00:00"/>
        <d v="2024-03-14T00:00:00"/>
        <d v="2024-03-15T00:00:00"/>
        <d v="2024-03-16T00:00:00"/>
        <d v="2024-03-17T00:00:00"/>
        <d v="2024-03-18T00:00:00"/>
        <d v="2024-03-19T00:00:00"/>
        <d v="2024-03-20T00:00:00"/>
        <d v="2024-03-22T00:00:00"/>
        <d v="2024-03-24T00:00:00"/>
        <d v="2024-03-25T00:00:00"/>
        <d v="2024-03-26T00:00:00"/>
        <d v="2024-03-27T00:00:00"/>
        <d v="2024-03-28T00:00:00"/>
        <d v="2024-03-30T00:00:00"/>
        <d v="2024-04-02T00:00:00"/>
        <d v="2024-04-06T00:00:00"/>
        <d v="2024-04-07T00:00:00"/>
        <d v="2024-04-08T00:00:00"/>
        <d v="2024-04-10T00:00:00"/>
        <d v="2024-04-11T00:00:00"/>
        <d v="2024-04-12T00:00:00"/>
        <d v="2024-04-14T00:00:00"/>
        <d v="2024-04-15T00:00:00"/>
        <d v="2024-04-16T00:00:00"/>
        <d v="2024-04-18T00:00:00"/>
        <d v="2024-04-23T00:00:00"/>
        <d v="2024-04-24T00:00:00"/>
        <d v="2024-04-25T00:00:00"/>
        <d v="2024-04-26T00:00:00"/>
        <d v="2024-04-29T00:00:00"/>
        <d v="2024-04-30T00:00:00"/>
        <d v="2024-05-01T00:00:00"/>
        <d v="2024-05-02T00:00:00"/>
        <d v="2024-05-03T00:00:00"/>
        <d v="2024-05-05T00:00:00"/>
        <d v="2024-05-06T00:00:00"/>
        <d v="2024-05-07T00:00:00"/>
        <d v="2024-05-08T00:00:00"/>
        <d v="2024-05-09T00:00:00"/>
        <d v="2024-05-10T00:00:00"/>
        <d v="2024-05-11T00:00:00"/>
        <d v="2024-05-12T00:00:00"/>
        <d v="2024-05-14T00:00:00"/>
        <d v="2024-05-15T00:00:00"/>
        <d v="2024-05-16T00:00:00"/>
        <d v="2024-05-17T00:00:00"/>
        <d v="2024-05-18T00:00:00"/>
        <d v="2024-05-19T00:00:00"/>
        <d v="2024-05-20T00:00:00"/>
        <d v="2024-05-21T00:00:00"/>
        <d v="2024-05-22T00:00:00"/>
        <d v="2024-05-25T00:00:00"/>
        <d v="2024-05-26T00:00:00"/>
        <d v="2024-05-27T00:00:00"/>
        <d v="2024-05-28T00:00:00"/>
        <d v="2024-05-29T00:00:00"/>
        <d v="2024-05-30T00:00:00"/>
        <d v="2024-05-31T00:00:00"/>
        <d v="2024-06-01T00:00:00"/>
        <d v="2024-06-03T00:00:00"/>
        <d v="2024-06-04T00:00:00"/>
        <d v="2024-06-05T00:00:00"/>
        <d v="2024-06-06T00:00:00"/>
        <d v="2024-06-07T00:00:00"/>
        <d v="2024-06-09T00:00:00"/>
        <d v="2024-06-12T00:00:00"/>
        <d v="2024-06-13T00:00:00"/>
        <d v="2024-06-14T00:00:00"/>
        <d v="2024-06-15T00:00:00"/>
        <d v="2024-06-16T00:00:00"/>
        <d v="2024-06-17T00:00:00"/>
        <d v="2024-06-18T00:00:00"/>
        <d v="2024-06-19T00:00:00"/>
        <d v="2024-06-20T00:00:00"/>
        <d v="2024-06-22T00:00:00"/>
        <d v="2024-06-23T00:00:00"/>
        <d v="2024-06-24T00:00:00"/>
        <d v="2024-06-25T00:00:00"/>
        <d v="2024-06-27T00:00:00"/>
        <d v="2024-06-28T00:00:00"/>
        <d v="2024-06-29T00:00:00"/>
        <d v="2024-07-02T00:00:00"/>
        <d v="2024-07-03T00:00:00"/>
        <d v="2024-07-07T00:00:00"/>
        <d v="2024-07-08T00:00:00"/>
        <d v="2024-07-10T00:00:00"/>
        <d v="2024-07-11T00:00:00"/>
        <d v="2024-07-12T00:00:00"/>
        <d v="2024-07-13T00:00:00"/>
        <d v="2024-07-14T00:00:00"/>
        <d v="2024-07-15T00:00:00"/>
        <d v="2024-07-16T00:00:00"/>
        <d v="2024-07-17T00:00:00"/>
        <d v="2024-07-19T00:00:00"/>
        <d v="2024-07-20T00:00:00"/>
        <d v="2024-07-21T00:00:00"/>
        <d v="2024-07-22T00:00:00"/>
        <d v="2024-07-24T00:00:00"/>
        <d v="2024-07-25T00:00:00"/>
        <d v="2024-07-26T00:00:00"/>
        <d v="2024-07-27T00:00:00"/>
        <d v="2024-07-28T00:00:00"/>
        <d v="2024-07-30T00:00:00"/>
        <d v="2024-07-31T00:00:00"/>
        <d v="2024-08-01T00:00:00"/>
        <d v="2024-08-02T00:00:00"/>
        <d v="2024-08-03T00:00:00"/>
        <d v="2024-08-04T00:00:00"/>
        <d v="2024-08-05T00:00:00"/>
        <d v="2024-08-06T00:00:00"/>
        <d v="2024-08-07T00:00:00"/>
        <d v="2024-08-08T00:00:00"/>
        <d v="2024-08-09T00:00:00"/>
        <d v="2024-08-11T00:00:00"/>
        <d v="2024-08-13T00:00:00"/>
        <d v="2024-08-14T00:00:00"/>
        <d v="2024-08-15T00:00:00"/>
        <d v="2024-08-16T00:00:00"/>
        <d v="2024-08-17T00:00:00"/>
        <d v="2024-08-18T00:00:00"/>
        <d v="2024-08-19T00:00:00"/>
        <d v="2024-08-21T00:00:00"/>
        <d v="2024-08-22T00:00:00"/>
        <d v="2024-08-23T00:00:00"/>
        <d v="2024-08-24T00:00:00"/>
        <d v="2024-08-25T00:00:00"/>
        <d v="2024-08-26T00:00:00"/>
        <d v="2024-08-28T00:00:00"/>
        <d v="2024-08-29T00:00:00"/>
        <d v="2024-08-30T00:00:00"/>
        <d v="2024-09-01T00:00:00"/>
        <d v="2024-09-03T00:00:00"/>
        <d v="2024-09-04T00:00:00"/>
        <d v="2024-09-05T00:00:00"/>
        <d v="2024-09-07T00:00:00"/>
        <d v="2024-09-09T00:00:00"/>
        <d v="2024-09-10T00:00:00"/>
        <d v="2024-09-11T00:00:00"/>
        <d v="2024-09-12T00:00:00"/>
        <d v="2024-09-13T00:00:00"/>
        <d v="2024-09-15T00:00:00"/>
        <d v="2024-09-16T00:00:00"/>
        <d v="2024-09-17T00:00:00"/>
        <d v="2024-09-20T00:00:00"/>
        <d v="2024-09-23T00:00:00"/>
        <d v="2024-09-24T00:00:00"/>
        <d v="2024-09-27T00:00:00"/>
        <d v="2024-09-28T00:00:00"/>
        <d v="2024-09-30T00:00:00"/>
        <d v="2024-10-01T00:00:00"/>
        <d v="2024-10-02T00:00:00"/>
        <d v="2024-10-03T00:00:00"/>
        <d v="2024-10-04T00:00:00"/>
        <d v="2024-10-06T00:00:00"/>
        <d v="2024-10-07T00:00:00"/>
        <d v="2024-10-08T00:00:00"/>
        <d v="2024-10-09T00:00:00"/>
        <d v="2024-10-10T00:00:00"/>
        <d v="2024-10-11T00:00:00"/>
        <d v="2024-10-12T00:00:00"/>
        <d v="2024-10-14T00:00:00"/>
        <d v="2024-10-15T00:00:00"/>
        <d v="2024-10-16T00:00:00"/>
        <d v="2024-10-17T00:00:00"/>
        <d v="2024-10-18T00:00:00"/>
        <d v="2024-10-19T00:00:00"/>
        <d v="2024-10-20T00:00:00"/>
        <d v="2024-10-21T00:00:00"/>
        <d v="2024-10-25T00:00:00"/>
        <d v="2024-10-28T00:00:00"/>
        <d v="2024-10-29T00:00:00"/>
        <d v="2024-10-30T00:00:00"/>
        <d v="2024-11-01T00:00:00"/>
        <d v="2024-11-03T00:00:00"/>
        <d v="2024-11-04T00:00:00"/>
        <d v="2024-11-05T00:00:00"/>
        <d v="2024-11-06T00:00:00"/>
        <d v="2024-11-07T00:00:00"/>
        <d v="2024-11-08T00:00:00"/>
        <d v="2024-11-11T00:00:00"/>
        <d v="2024-11-13T00:00:00"/>
        <d v="2024-11-14T00:00:00"/>
        <d v="2024-11-16T00:00:00"/>
        <d v="2024-11-18T00:00:00"/>
        <d v="2024-11-20T00:00:00"/>
        <d v="2024-11-22T00:00:00"/>
        <d v="2024-11-23T00:00:00"/>
        <d v="2024-11-24T00:00:00"/>
        <d v="2024-11-25T00:00:00"/>
        <d v="2024-11-26T00:00:00"/>
        <d v="2024-11-27T00:00:00"/>
        <d v="2024-11-28T00:00:00"/>
        <d v="2024-11-30T00:00:00"/>
        <d v="2024-12-02T00:00:00"/>
        <d v="2024-12-03T00:00:00"/>
        <d v="2024-12-05T00:00:00"/>
        <d v="2024-12-06T00:00:00"/>
        <d v="2024-12-07T00:00:00"/>
        <d v="2024-12-08T00:00:00"/>
        <d v="2024-12-09T00:00:00"/>
        <d v="2024-12-10T00:00:00"/>
        <d v="2024-12-12T00:00:00"/>
        <d v="2024-12-13T00:00:00"/>
        <d v="2024-12-14T00:00:00"/>
        <d v="2024-12-15T00:00:00"/>
        <d v="2024-12-16T00:00:00"/>
        <d v="2024-12-17T00:00:00"/>
        <d v="2024-12-19T00:00:00"/>
        <d v="2024-12-20T00:00:00"/>
        <d v="2024-12-21T00:00:00"/>
        <d v="2024-12-22T00:00:00"/>
        <d v="2024-12-23T00:00:00"/>
        <d v="2024-12-25T00:00:00"/>
        <d v="2024-12-26T00:00:00"/>
        <d v="2024-12-29T00:00:00"/>
        <d v="2024-12-30T00:00:00"/>
        <d v="2024-12-31T00:00:00"/>
      </sharedItems>
      <fieldGroup par="15"/>
    </cacheField>
    <cacheField name="Store_Name" numFmtId="0">
      <sharedItems count="5">
        <s v="Mumbai Central"/>
        <s v="Aurangabad Square"/>
        <s v="Nashik Point"/>
        <s v="Nagpur Hub"/>
        <s v="Pune West"/>
      </sharedItems>
    </cacheField>
    <cacheField name="City" numFmtId="0">
      <sharedItems/>
    </cacheField>
    <cacheField name="Category" numFmtId="0">
      <sharedItems count="4">
        <s v="Groceries"/>
        <s v="Clothing"/>
        <s v="Home &amp; Kitchen"/>
        <s v="Electronics"/>
      </sharedItems>
    </cacheField>
    <cacheField name="Product_Name" numFmtId="0">
      <sharedItems count="32">
        <s v="Mixed Nuts 250g"/>
        <s v="Formal Shirt"/>
        <s v="Amul Butter 500g"/>
        <s v="Chopping Board"/>
        <s v="Cotton Saree"/>
        <s v="Smart Watch"/>
        <s v="Power Bank 20000mAh"/>
        <s v="Water Bottle 1L"/>
        <s v="Sports Shorts"/>
        <s v="Pressure Cooker 3L"/>
        <s v="Non-stick Pan"/>
        <s v="Winter Jacket"/>
        <s v="Women's Kurta"/>
        <s v="Jeans Slim Fit"/>
        <s v="Bluetooth Speaker"/>
        <s v="Sunflower Oil 1L"/>
        <s v="Kids Hoodie"/>
        <s v="Storage Containers x3"/>
        <s v="Green Tea 25 bags"/>
        <s v="Dinner Set 12pc"/>
        <s v="Mop Set"/>
        <s v="USB-C Hub"/>
        <s v="Toor Dal 1kg"/>
        <s v="Wireless Earbuds"/>
        <s v="Men's Polo T-Shirt"/>
        <s v="Webcam HD"/>
        <s v="Steel Casserole"/>
        <s v="Phone Stand"/>
        <s v="Instant Noodles x5"/>
        <s v="LED Desk Lamp"/>
        <s v="Biscuits Pack"/>
        <s v="Basmati Rice 5kg"/>
      </sharedItems>
    </cacheField>
    <cacheField name="Customer_ID" numFmtId="0">
      <sharedItems/>
    </cacheField>
    <cacheField name="Customer_Type" numFmtId="0">
      <sharedItems count="3">
        <s v="Returning"/>
        <s v="New"/>
        <s v="Loyal"/>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80" maxValue="3840"/>
    </cacheField>
    <cacheField name="Discount_%" numFmtId="0">
      <sharedItems containsSemiMixedTypes="0" containsString="0" containsNumber="1" containsInteger="1" minValue="0" maxValue="20"/>
    </cacheField>
    <cacheField name="Revenue" numFmtId="165">
      <sharedItems containsSemiMixedTypes="0" containsString="0" containsNumber="1" minValue="68" maxValue="14120"/>
    </cacheField>
    <cacheField name="COGS" numFmtId="165">
      <sharedItems containsSemiMixedTypes="0" containsString="0" containsNumber="1" minValue="44.2" maxValue="9178"/>
    </cacheField>
    <cacheField name="Profit" numFmtId="165">
      <sharedItems containsSemiMixedTypes="0" containsString="0" containsNumber="1" minValue="23.799999999999997" maxValue="4942"/>
    </cacheField>
    <cacheField name="Days (Order_Date)" numFmtId="0" databaseField="0">
      <fieldGroup base="1">
        <rangePr groupBy="days" startDate="2024-01-02T00:00:00" endDate="2025-01-01T00:00:00"/>
        <groupItems count="368">
          <s v="&lt;02-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Order_Date)" numFmtId="0" databaseField="0">
      <fieldGroup base="1">
        <rangePr groupBy="months" startDate="2024-01-02T00:00:00" endDate="2025-01-01T00:00:00"/>
        <groupItems count="14">
          <s v="&lt;02-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8163744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249"/>
    <x v="0"/>
    <x v="0"/>
    <s v="Mumbai"/>
    <x v="0"/>
    <x v="0"/>
    <s v="CUST0140"/>
    <x v="0"/>
    <n v="1"/>
    <n v="310"/>
    <n v="5"/>
    <n v="294.5"/>
    <n v="191.42500000000001"/>
    <n v="103.07499999999999"/>
  </r>
  <r>
    <s v="ORD0230"/>
    <x v="1"/>
    <x v="1"/>
    <s v="Aurangabad"/>
    <x v="1"/>
    <x v="1"/>
    <s v="CUST0122"/>
    <x v="0"/>
    <n v="1"/>
    <n v="770"/>
    <n v="10"/>
    <n v="693"/>
    <n v="450.45"/>
    <n v="242.55"/>
  </r>
  <r>
    <s v="ORD0426"/>
    <x v="1"/>
    <x v="2"/>
    <s v="Nashik"/>
    <x v="0"/>
    <x v="2"/>
    <s v="CUST0044"/>
    <x v="0"/>
    <n v="1"/>
    <n v="260"/>
    <n v="5"/>
    <n v="247"/>
    <n v="160.55000000000001"/>
    <n v="86.449999999999989"/>
  </r>
  <r>
    <s v="ORD0471"/>
    <x v="1"/>
    <x v="3"/>
    <s v="Nagpur"/>
    <x v="2"/>
    <x v="3"/>
    <s v="CUST0083"/>
    <x v="0"/>
    <n v="3"/>
    <n v="230"/>
    <n v="15"/>
    <n v="586.5"/>
    <n v="381.22500000000002"/>
    <n v="205.27499999999998"/>
  </r>
  <r>
    <s v="ORD0491"/>
    <x v="1"/>
    <x v="3"/>
    <s v="Nagpur"/>
    <x v="1"/>
    <x v="4"/>
    <s v="CUST0165"/>
    <x v="0"/>
    <n v="3"/>
    <n v="1250"/>
    <n v="5"/>
    <n v="3562.5"/>
    <n v="2315.625"/>
    <n v="1246.875"/>
  </r>
  <r>
    <s v="ORD0033"/>
    <x v="2"/>
    <x v="2"/>
    <s v="Nashik"/>
    <x v="3"/>
    <x v="5"/>
    <s v="CUST0130"/>
    <x v="1"/>
    <n v="4"/>
    <n v="3530"/>
    <n v="0"/>
    <n v="14120"/>
    <n v="9178"/>
    <n v="4942"/>
  </r>
  <r>
    <s v="ORD0328"/>
    <x v="2"/>
    <x v="3"/>
    <s v="Nagpur"/>
    <x v="3"/>
    <x v="6"/>
    <s v="CUST0123"/>
    <x v="1"/>
    <n v="1"/>
    <n v="1040"/>
    <n v="10"/>
    <n v="936"/>
    <n v="608.4"/>
    <n v="327.60000000000002"/>
  </r>
  <r>
    <s v="ORD0285"/>
    <x v="3"/>
    <x v="3"/>
    <s v="Nagpur"/>
    <x v="2"/>
    <x v="7"/>
    <s v="CUST0186"/>
    <x v="2"/>
    <n v="4"/>
    <n v="320"/>
    <n v="10"/>
    <n v="1152"/>
    <n v="748.80000000000007"/>
    <n v="403.19999999999993"/>
  </r>
  <r>
    <s v="ORD0447"/>
    <x v="3"/>
    <x v="1"/>
    <s v="Aurangabad"/>
    <x v="1"/>
    <x v="8"/>
    <s v="CUST0177"/>
    <x v="0"/>
    <n v="1"/>
    <n v="350"/>
    <n v="15"/>
    <n v="297.5"/>
    <n v="193.375"/>
    <n v="104.125"/>
  </r>
  <r>
    <s v="ORD0060"/>
    <x v="4"/>
    <x v="1"/>
    <s v="Aurangabad"/>
    <x v="2"/>
    <x v="9"/>
    <s v="CUST0091"/>
    <x v="1"/>
    <n v="1"/>
    <n v="810"/>
    <n v="5"/>
    <n v="769.5"/>
    <n v="500.17500000000001"/>
    <n v="269.32499999999999"/>
  </r>
  <r>
    <s v="ORD0181"/>
    <x v="4"/>
    <x v="2"/>
    <s v="Nashik"/>
    <x v="2"/>
    <x v="10"/>
    <s v="CUST0096"/>
    <x v="1"/>
    <n v="1"/>
    <n v="720"/>
    <n v="0"/>
    <n v="720"/>
    <n v="468"/>
    <n v="252"/>
  </r>
  <r>
    <s v="ORD0364"/>
    <x v="5"/>
    <x v="0"/>
    <s v="Mumbai"/>
    <x v="1"/>
    <x v="11"/>
    <s v="CUST0024"/>
    <x v="2"/>
    <n v="3"/>
    <n v="1590"/>
    <n v="15"/>
    <n v="4054.5"/>
    <n v="2635.4250000000002"/>
    <n v="1419.0749999999998"/>
  </r>
  <r>
    <s v="ORD0432"/>
    <x v="5"/>
    <x v="1"/>
    <s v="Aurangabad"/>
    <x v="1"/>
    <x v="12"/>
    <s v="CUST0167"/>
    <x v="2"/>
    <n v="1"/>
    <n v="680"/>
    <n v="20"/>
    <n v="544"/>
    <n v="353.6"/>
    <n v="190.39999999999998"/>
  </r>
  <r>
    <s v="ORD0198"/>
    <x v="6"/>
    <x v="3"/>
    <s v="Nagpur"/>
    <x v="0"/>
    <x v="0"/>
    <s v="CUST0142"/>
    <x v="1"/>
    <n v="4"/>
    <n v="320"/>
    <n v="0"/>
    <n v="1280"/>
    <n v="832"/>
    <n v="448"/>
  </r>
  <r>
    <s v="ORD0099"/>
    <x v="7"/>
    <x v="1"/>
    <s v="Aurangabad"/>
    <x v="1"/>
    <x v="13"/>
    <s v="CUST0004"/>
    <x v="0"/>
    <n v="1"/>
    <n v="860"/>
    <n v="5"/>
    <n v="817"/>
    <n v="531.05000000000007"/>
    <n v="285.94999999999993"/>
  </r>
  <r>
    <s v="ORD0411"/>
    <x v="7"/>
    <x v="2"/>
    <s v="Nashik"/>
    <x v="3"/>
    <x v="14"/>
    <s v="CUST0200"/>
    <x v="2"/>
    <n v="4"/>
    <n v="1390"/>
    <n v="20"/>
    <n v="4448"/>
    <n v="2891.2000000000003"/>
    <n v="1556.7999999999997"/>
  </r>
  <r>
    <s v="ORD0366"/>
    <x v="8"/>
    <x v="2"/>
    <s v="Nashik"/>
    <x v="2"/>
    <x v="3"/>
    <s v="CUST0048"/>
    <x v="1"/>
    <n v="2"/>
    <n v="240"/>
    <n v="0"/>
    <n v="480"/>
    <n v="312"/>
    <n v="168"/>
  </r>
  <r>
    <s v="ORD0192"/>
    <x v="9"/>
    <x v="1"/>
    <s v="Aurangabad"/>
    <x v="1"/>
    <x v="11"/>
    <s v="CUST0096"/>
    <x v="0"/>
    <n v="1"/>
    <n v="1630"/>
    <n v="5"/>
    <n v="1548.5"/>
    <n v="1006.5250000000001"/>
    <n v="541.97499999999991"/>
  </r>
  <r>
    <s v="ORD0118"/>
    <x v="10"/>
    <x v="1"/>
    <s v="Aurangabad"/>
    <x v="0"/>
    <x v="15"/>
    <s v="CUST0076"/>
    <x v="0"/>
    <n v="2"/>
    <n v="120"/>
    <n v="5"/>
    <n v="228"/>
    <n v="148.20000000000002"/>
    <n v="79.799999999999983"/>
  </r>
  <r>
    <s v="ORD0367"/>
    <x v="10"/>
    <x v="1"/>
    <s v="Aurangabad"/>
    <x v="1"/>
    <x v="16"/>
    <s v="CUST0141"/>
    <x v="0"/>
    <n v="1"/>
    <n v="600"/>
    <n v="10"/>
    <n v="540"/>
    <n v="351"/>
    <n v="189"/>
  </r>
  <r>
    <s v="ORD0419"/>
    <x v="11"/>
    <x v="1"/>
    <s v="Aurangabad"/>
    <x v="1"/>
    <x v="8"/>
    <s v="CUST0057"/>
    <x v="0"/>
    <n v="2"/>
    <n v="360"/>
    <n v="10"/>
    <n v="648"/>
    <n v="421.2"/>
    <n v="226.8"/>
  </r>
  <r>
    <s v="ORD0040"/>
    <x v="12"/>
    <x v="3"/>
    <s v="Nagpur"/>
    <x v="1"/>
    <x v="4"/>
    <s v="CUST0091"/>
    <x v="2"/>
    <n v="4"/>
    <n v="1240"/>
    <n v="15"/>
    <n v="4216"/>
    <n v="2740.4"/>
    <n v="1475.6"/>
  </r>
  <r>
    <s v="ORD0159"/>
    <x v="13"/>
    <x v="2"/>
    <s v="Nashik"/>
    <x v="1"/>
    <x v="8"/>
    <s v="CUST0129"/>
    <x v="1"/>
    <n v="1"/>
    <n v="360"/>
    <n v="0"/>
    <n v="360"/>
    <n v="234"/>
    <n v="126"/>
  </r>
  <r>
    <s v="ORD0134"/>
    <x v="14"/>
    <x v="1"/>
    <s v="Aurangabad"/>
    <x v="0"/>
    <x v="0"/>
    <s v="CUST0008"/>
    <x v="1"/>
    <n v="2"/>
    <n v="310"/>
    <n v="5"/>
    <n v="589"/>
    <n v="382.85"/>
    <n v="206.14999999999998"/>
  </r>
  <r>
    <s v="ORD0216"/>
    <x v="15"/>
    <x v="0"/>
    <s v="Mumbai"/>
    <x v="1"/>
    <x v="8"/>
    <s v="CUST0133"/>
    <x v="0"/>
    <n v="2"/>
    <n v="370"/>
    <n v="15"/>
    <n v="629"/>
    <n v="408.85"/>
    <n v="220.14999999999998"/>
  </r>
  <r>
    <s v="ORD0116"/>
    <x v="16"/>
    <x v="1"/>
    <s v="Aurangabad"/>
    <x v="2"/>
    <x v="17"/>
    <s v="CUST0059"/>
    <x v="0"/>
    <n v="1"/>
    <n v="420"/>
    <n v="15"/>
    <n v="357"/>
    <n v="232.05"/>
    <n v="124.94999999999999"/>
  </r>
  <r>
    <s v="ORD0209"/>
    <x v="16"/>
    <x v="3"/>
    <s v="Nagpur"/>
    <x v="2"/>
    <x v="7"/>
    <s v="CUST0041"/>
    <x v="2"/>
    <n v="4"/>
    <n v="280"/>
    <n v="20"/>
    <n v="896"/>
    <n v="582.4"/>
    <n v="313.60000000000002"/>
  </r>
  <r>
    <s v="ORD0408"/>
    <x v="16"/>
    <x v="3"/>
    <s v="Nagpur"/>
    <x v="1"/>
    <x v="16"/>
    <s v="CUST0119"/>
    <x v="0"/>
    <n v="2"/>
    <n v="580"/>
    <n v="5"/>
    <n v="1102"/>
    <n v="716.30000000000007"/>
    <n v="385.69999999999993"/>
  </r>
  <r>
    <s v="ORD0141"/>
    <x v="17"/>
    <x v="3"/>
    <s v="Nagpur"/>
    <x v="0"/>
    <x v="18"/>
    <s v="CUST0130"/>
    <x v="1"/>
    <n v="2"/>
    <n v="180"/>
    <n v="0"/>
    <n v="360"/>
    <n v="234"/>
    <n v="126"/>
  </r>
  <r>
    <s v="ORD0279"/>
    <x v="18"/>
    <x v="0"/>
    <s v="Mumbai"/>
    <x v="2"/>
    <x v="19"/>
    <s v="CUST0088"/>
    <x v="0"/>
    <n v="2"/>
    <n v="1390"/>
    <n v="15"/>
    <n v="2363"/>
    <n v="1535.95"/>
    <n v="827.05"/>
  </r>
  <r>
    <s v="ORD0372"/>
    <x v="19"/>
    <x v="4"/>
    <s v="Pune"/>
    <x v="2"/>
    <x v="20"/>
    <s v="CUST0045"/>
    <x v="1"/>
    <n v="2"/>
    <n v="490"/>
    <n v="10"/>
    <n v="882"/>
    <n v="573.30000000000007"/>
    <n v="308.69999999999993"/>
  </r>
  <r>
    <s v="ORD0406"/>
    <x v="19"/>
    <x v="1"/>
    <s v="Aurangabad"/>
    <x v="1"/>
    <x v="12"/>
    <s v="CUST0130"/>
    <x v="0"/>
    <n v="3"/>
    <n v="670"/>
    <n v="15"/>
    <n v="1708.5"/>
    <n v="1110.5250000000001"/>
    <n v="597.97499999999991"/>
  </r>
  <r>
    <s v="ORD0086"/>
    <x v="20"/>
    <x v="1"/>
    <s v="Aurangabad"/>
    <x v="3"/>
    <x v="21"/>
    <s v="CUST0068"/>
    <x v="0"/>
    <n v="1"/>
    <n v="820"/>
    <n v="5"/>
    <n v="779"/>
    <n v="506.35"/>
    <n v="272.64999999999998"/>
  </r>
  <r>
    <s v="ORD0140"/>
    <x v="20"/>
    <x v="1"/>
    <s v="Aurangabad"/>
    <x v="0"/>
    <x v="22"/>
    <s v="CUST0171"/>
    <x v="2"/>
    <n v="2"/>
    <n v="150"/>
    <n v="20"/>
    <n v="240"/>
    <n v="156"/>
    <n v="84"/>
  </r>
  <r>
    <s v="ORD0376"/>
    <x v="20"/>
    <x v="0"/>
    <s v="Mumbai"/>
    <x v="1"/>
    <x v="13"/>
    <s v="CUST0135"/>
    <x v="2"/>
    <n v="5"/>
    <n v="950"/>
    <n v="15"/>
    <n v="4037.5"/>
    <n v="2624.375"/>
    <n v="1413.125"/>
  </r>
  <r>
    <s v="ORD0029"/>
    <x v="21"/>
    <x v="3"/>
    <s v="Nagpur"/>
    <x v="3"/>
    <x v="23"/>
    <s v="CUST0129"/>
    <x v="2"/>
    <n v="2"/>
    <n v="1930"/>
    <n v="10"/>
    <n v="3474"/>
    <n v="2258.1"/>
    <n v="1215.9000000000001"/>
  </r>
  <r>
    <s v="ORD0128"/>
    <x v="21"/>
    <x v="2"/>
    <s v="Nashik"/>
    <x v="0"/>
    <x v="2"/>
    <s v="CUST0117"/>
    <x v="1"/>
    <n v="1"/>
    <n v="270"/>
    <n v="10"/>
    <n v="243"/>
    <n v="157.95000000000002"/>
    <n v="85.049999999999983"/>
  </r>
  <r>
    <s v="ORD0466"/>
    <x v="21"/>
    <x v="3"/>
    <s v="Nagpur"/>
    <x v="1"/>
    <x v="24"/>
    <s v="CUST0116"/>
    <x v="1"/>
    <n v="4"/>
    <n v="480"/>
    <n v="10"/>
    <n v="1728"/>
    <n v="1123.2"/>
    <n v="604.79999999999995"/>
  </r>
  <r>
    <s v="ORD0133"/>
    <x v="22"/>
    <x v="2"/>
    <s v="Nashik"/>
    <x v="2"/>
    <x v="20"/>
    <s v="CUST0028"/>
    <x v="0"/>
    <n v="1"/>
    <n v="450"/>
    <n v="15"/>
    <n v="382.5"/>
    <n v="248.625"/>
    <n v="133.875"/>
  </r>
  <r>
    <s v="ORD0139"/>
    <x v="23"/>
    <x v="0"/>
    <s v="Mumbai"/>
    <x v="3"/>
    <x v="5"/>
    <s v="CUST0191"/>
    <x v="0"/>
    <n v="3"/>
    <n v="3450"/>
    <n v="15"/>
    <n v="8797.5"/>
    <n v="5718.375"/>
    <n v="3079.125"/>
  </r>
  <r>
    <s v="ORD0066"/>
    <x v="24"/>
    <x v="0"/>
    <s v="Mumbai"/>
    <x v="3"/>
    <x v="21"/>
    <s v="CUST0006"/>
    <x v="0"/>
    <n v="1"/>
    <n v="750"/>
    <n v="10"/>
    <n v="675"/>
    <n v="438.75"/>
    <n v="236.25"/>
  </r>
  <r>
    <s v="ORD0021"/>
    <x v="25"/>
    <x v="0"/>
    <s v="Mumbai"/>
    <x v="1"/>
    <x v="12"/>
    <s v="CUST0085"/>
    <x v="1"/>
    <n v="1"/>
    <n v="760"/>
    <n v="10"/>
    <n v="684"/>
    <n v="444.6"/>
    <n v="239.39999999999998"/>
  </r>
  <r>
    <s v="ORD0200"/>
    <x v="26"/>
    <x v="2"/>
    <s v="Nashik"/>
    <x v="2"/>
    <x v="20"/>
    <s v="CUST0200"/>
    <x v="0"/>
    <n v="2"/>
    <n v="420"/>
    <n v="5"/>
    <n v="798"/>
    <n v="518.70000000000005"/>
    <n v="279.29999999999995"/>
  </r>
  <r>
    <s v="ORD0107"/>
    <x v="27"/>
    <x v="2"/>
    <s v="Nashik"/>
    <x v="0"/>
    <x v="18"/>
    <s v="CUST0102"/>
    <x v="0"/>
    <n v="4"/>
    <n v="200"/>
    <n v="15"/>
    <n v="680"/>
    <n v="442"/>
    <n v="238"/>
  </r>
  <r>
    <s v="ORD0276"/>
    <x v="27"/>
    <x v="3"/>
    <s v="Nagpur"/>
    <x v="3"/>
    <x v="14"/>
    <s v="CUST0081"/>
    <x v="1"/>
    <n v="1"/>
    <n v="1410"/>
    <n v="0"/>
    <n v="1410"/>
    <n v="916.5"/>
    <n v="493.5"/>
  </r>
  <r>
    <s v="ORD0348"/>
    <x v="28"/>
    <x v="1"/>
    <s v="Aurangabad"/>
    <x v="0"/>
    <x v="22"/>
    <s v="CUST0014"/>
    <x v="1"/>
    <n v="3"/>
    <n v="150"/>
    <n v="0"/>
    <n v="450"/>
    <n v="292.5"/>
    <n v="157.5"/>
  </r>
  <r>
    <s v="ORD0153"/>
    <x v="29"/>
    <x v="2"/>
    <s v="Nashik"/>
    <x v="0"/>
    <x v="18"/>
    <s v="CUST0200"/>
    <x v="1"/>
    <n v="2"/>
    <n v="190"/>
    <n v="0"/>
    <n v="380"/>
    <n v="247"/>
    <n v="133"/>
  </r>
  <r>
    <s v="ORD0272"/>
    <x v="29"/>
    <x v="3"/>
    <s v="Nagpur"/>
    <x v="2"/>
    <x v="9"/>
    <s v="CUST0179"/>
    <x v="1"/>
    <n v="2"/>
    <n v="910"/>
    <n v="0"/>
    <n v="1820"/>
    <n v="1183"/>
    <n v="637"/>
  </r>
  <r>
    <s v="ORD0339"/>
    <x v="29"/>
    <x v="1"/>
    <s v="Aurangabad"/>
    <x v="1"/>
    <x v="13"/>
    <s v="CUST0101"/>
    <x v="0"/>
    <n v="3"/>
    <n v="910"/>
    <n v="15"/>
    <n v="2320.5"/>
    <n v="1508.325"/>
    <n v="812.17499999999995"/>
  </r>
  <r>
    <s v="ORD0058"/>
    <x v="30"/>
    <x v="4"/>
    <s v="Pune"/>
    <x v="1"/>
    <x v="4"/>
    <s v="CUST0040"/>
    <x v="0"/>
    <n v="1"/>
    <n v="1170"/>
    <n v="10"/>
    <n v="1053"/>
    <n v="684.45"/>
    <n v="368.54999999999995"/>
  </r>
  <r>
    <s v="ORD0486"/>
    <x v="31"/>
    <x v="3"/>
    <s v="Nagpur"/>
    <x v="1"/>
    <x v="8"/>
    <s v="CUST0166"/>
    <x v="2"/>
    <n v="1"/>
    <n v="330"/>
    <n v="10"/>
    <n v="297"/>
    <n v="193.05"/>
    <n v="103.94999999999999"/>
  </r>
  <r>
    <s v="ORD0002"/>
    <x v="32"/>
    <x v="1"/>
    <s v="Aurangabad"/>
    <x v="2"/>
    <x v="10"/>
    <s v="CUST0056"/>
    <x v="1"/>
    <n v="2"/>
    <n v="630"/>
    <n v="10"/>
    <n v="1134"/>
    <n v="737.1"/>
    <n v="396.9"/>
  </r>
  <r>
    <s v="ORD0073"/>
    <x v="32"/>
    <x v="3"/>
    <s v="Nagpur"/>
    <x v="2"/>
    <x v="19"/>
    <s v="CUST0146"/>
    <x v="0"/>
    <n v="1"/>
    <n v="1360"/>
    <n v="5"/>
    <n v="1292"/>
    <n v="839.80000000000007"/>
    <n v="452.19999999999993"/>
  </r>
  <r>
    <s v="ORD0196"/>
    <x v="32"/>
    <x v="3"/>
    <s v="Nagpur"/>
    <x v="0"/>
    <x v="22"/>
    <s v="CUST0075"/>
    <x v="2"/>
    <n v="4"/>
    <n v="150"/>
    <n v="20"/>
    <n v="480"/>
    <n v="312"/>
    <n v="168"/>
  </r>
  <r>
    <s v="ORD0480"/>
    <x v="32"/>
    <x v="0"/>
    <s v="Mumbai"/>
    <x v="3"/>
    <x v="14"/>
    <s v="CUST0143"/>
    <x v="1"/>
    <n v="3"/>
    <n v="1380"/>
    <n v="5"/>
    <n v="3933"/>
    <n v="2556.4500000000003"/>
    <n v="1376.5499999999997"/>
  </r>
  <r>
    <s v="ORD0096"/>
    <x v="33"/>
    <x v="3"/>
    <s v="Nagpur"/>
    <x v="0"/>
    <x v="18"/>
    <s v="CUST0198"/>
    <x v="0"/>
    <n v="2"/>
    <n v="180"/>
    <n v="5"/>
    <n v="342"/>
    <n v="222.3"/>
    <n v="119.69999999999999"/>
  </r>
  <r>
    <s v="ORD0145"/>
    <x v="34"/>
    <x v="1"/>
    <s v="Aurangabad"/>
    <x v="1"/>
    <x v="1"/>
    <s v="CUST0088"/>
    <x v="1"/>
    <n v="1"/>
    <n v="740"/>
    <n v="5"/>
    <n v="703"/>
    <n v="456.95"/>
    <n v="246.05"/>
  </r>
  <r>
    <s v="ORD0211"/>
    <x v="34"/>
    <x v="2"/>
    <s v="Nashik"/>
    <x v="2"/>
    <x v="19"/>
    <s v="CUST0091"/>
    <x v="1"/>
    <n v="1"/>
    <n v="1220"/>
    <n v="10"/>
    <n v="1098"/>
    <n v="713.7"/>
    <n v="384.29999999999995"/>
  </r>
  <r>
    <s v="ORD0259"/>
    <x v="35"/>
    <x v="1"/>
    <s v="Aurangabad"/>
    <x v="1"/>
    <x v="24"/>
    <s v="CUST0173"/>
    <x v="0"/>
    <n v="1"/>
    <n v="480"/>
    <n v="5"/>
    <n v="456"/>
    <n v="296.40000000000003"/>
    <n v="159.59999999999997"/>
  </r>
  <r>
    <s v="ORD0354"/>
    <x v="35"/>
    <x v="0"/>
    <s v="Mumbai"/>
    <x v="1"/>
    <x v="1"/>
    <s v="CUST0096"/>
    <x v="0"/>
    <n v="3"/>
    <n v="780"/>
    <n v="15"/>
    <n v="1989"/>
    <n v="1292.8500000000001"/>
    <n v="696.14999999999986"/>
  </r>
  <r>
    <s v="ORD0327"/>
    <x v="36"/>
    <x v="0"/>
    <s v="Mumbai"/>
    <x v="1"/>
    <x v="11"/>
    <s v="CUST0152"/>
    <x v="1"/>
    <n v="2"/>
    <n v="1370"/>
    <n v="0"/>
    <n v="2740"/>
    <n v="1781"/>
    <n v="959"/>
  </r>
  <r>
    <s v="ORD0355"/>
    <x v="36"/>
    <x v="1"/>
    <s v="Aurangabad"/>
    <x v="1"/>
    <x v="1"/>
    <s v="CUST0146"/>
    <x v="1"/>
    <n v="2"/>
    <n v="690"/>
    <n v="0"/>
    <n v="1380"/>
    <n v="897"/>
    <n v="483"/>
  </r>
  <r>
    <s v="ORD0024"/>
    <x v="37"/>
    <x v="0"/>
    <s v="Mumbai"/>
    <x v="2"/>
    <x v="20"/>
    <s v="CUST0028"/>
    <x v="1"/>
    <n v="1"/>
    <n v="480"/>
    <n v="5"/>
    <n v="456"/>
    <n v="296.40000000000003"/>
    <n v="159.59999999999997"/>
  </r>
  <r>
    <s v="ORD0026"/>
    <x v="37"/>
    <x v="0"/>
    <s v="Mumbai"/>
    <x v="3"/>
    <x v="5"/>
    <s v="CUST0061"/>
    <x v="1"/>
    <n v="2"/>
    <n v="3800"/>
    <n v="0"/>
    <n v="7600"/>
    <n v="4940"/>
    <n v="2660"/>
  </r>
  <r>
    <s v="ORD0137"/>
    <x v="37"/>
    <x v="0"/>
    <s v="Mumbai"/>
    <x v="1"/>
    <x v="1"/>
    <s v="CUST0059"/>
    <x v="0"/>
    <n v="3"/>
    <n v="740"/>
    <n v="10"/>
    <n v="1998"/>
    <n v="1298.7"/>
    <n v="699.3"/>
  </r>
  <r>
    <s v="ORD0106"/>
    <x v="38"/>
    <x v="2"/>
    <s v="Nashik"/>
    <x v="3"/>
    <x v="25"/>
    <s v="CUST0037"/>
    <x v="0"/>
    <n v="2"/>
    <n v="1350"/>
    <n v="5"/>
    <n v="2565"/>
    <n v="1667.25"/>
    <n v="897.75"/>
  </r>
  <r>
    <s v="ORD0082"/>
    <x v="39"/>
    <x v="0"/>
    <s v="Mumbai"/>
    <x v="0"/>
    <x v="0"/>
    <s v="CUST0088"/>
    <x v="1"/>
    <n v="1"/>
    <n v="300"/>
    <n v="5"/>
    <n v="285"/>
    <n v="185.25"/>
    <n v="99.75"/>
  </r>
  <r>
    <s v="ORD0305"/>
    <x v="39"/>
    <x v="1"/>
    <s v="Aurangabad"/>
    <x v="1"/>
    <x v="8"/>
    <s v="CUST0118"/>
    <x v="1"/>
    <n v="2"/>
    <n v="340"/>
    <n v="5"/>
    <n v="646"/>
    <n v="419.90000000000003"/>
    <n v="226.09999999999997"/>
  </r>
  <r>
    <s v="ORD0329"/>
    <x v="39"/>
    <x v="0"/>
    <s v="Mumbai"/>
    <x v="0"/>
    <x v="18"/>
    <s v="CUST0036"/>
    <x v="0"/>
    <n v="3"/>
    <n v="210"/>
    <n v="5"/>
    <n v="598.5"/>
    <n v="389.02500000000003"/>
    <n v="209.47499999999997"/>
  </r>
  <r>
    <s v="ORD0479"/>
    <x v="40"/>
    <x v="4"/>
    <s v="Pune"/>
    <x v="2"/>
    <x v="26"/>
    <s v="CUST0040"/>
    <x v="1"/>
    <n v="3"/>
    <n v="520"/>
    <n v="0"/>
    <n v="1560"/>
    <n v="1014"/>
    <n v="546"/>
  </r>
  <r>
    <s v="ORD0271"/>
    <x v="41"/>
    <x v="0"/>
    <s v="Mumbai"/>
    <x v="1"/>
    <x v="4"/>
    <s v="CUST0135"/>
    <x v="1"/>
    <n v="1"/>
    <n v="1130"/>
    <n v="5"/>
    <n v="1073.5"/>
    <n v="697.77499999999998"/>
    <n v="375.72500000000002"/>
  </r>
  <r>
    <s v="ORD0358"/>
    <x v="41"/>
    <x v="4"/>
    <s v="Pune"/>
    <x v="2"/>
    <x v="9"/>
    <s v="CUST0031"/>
    <x v="0"/>
    <n v="5"/>
    <n v="870"/>
    <n v="5"/>
    <n v="4132.5"/>
    <n v="2686.125"/>
    <n v="1446.375"/>
  </r>
  <r>
    <s v="ORD0142"/>
    <x v="42"/>
    <x v="3"/>
    <s v="Nagpur"/>
    <x v="0"/>
    <x v="22"/>
    <s v="CUST0147"/>
    <x v="1"/>
    <n v="2"/>
    <n v="160"/>
    <n v="10"/>
    <n v="288"/>
    <n v="187.20000000000002"/>
    <n v="100.79999999999998"/>
  </r>
  <r>
    <s v="ORD0302"/>
    <x v="42"/>
    <x v="4"/>
    <s v="Pune"/>
    <x v="1"/>
    <x v="13"/>
    <s v="CUST0085"/>
    <x v="0"/>
    <n v="5"/>
    <n v="910"/>
    <n v="5"/>
    <n v="4322.5"/>
    <n v="2809.625"/>
    <n v="1512.875"/>
  </r>
  <r>
    <s v="ORD0383"/>
    <x v="42"/>
    <x v="0"/>
    <s v="Mumbai"/>
    <x v="3"/>
    <x v="6"/>
    <s v="CUST0108"/>
    <x v="2"/>
    <n v="4"/>
    <n v="990"/>
    <n v="15"/>
    <n v="3366"/>
    <n v="2187.9"/>
    <n v="1178.0999999999999"/>
  </r>
  <r>
    <s v="ORD0148"/>
    <x v="43"/>
    <x v="3"/>
    <s v="Nagpur"/>
    <x v="2"/>
    <x v="17"/>
    <s v="CUST0102"/>
    <x v="2"/>
    <n v="1"/>
    <n v="360"/>
    <n v="10"/>
    <n v="324"/>
    <n v="210.6"/>
    <n v="113.4"/>
  </r>
  <r>
    <s v="ORD0068"/>
    <x v="44"/>
    <x v="4"/>
    <s v="Pune"/>
    <x v="0"/>
    <x v="22"/>
    <s v="CUST0080"/>
    <x v="0"/>
    <n v="4"/>
    <n v="150"/>
    <n v="10"/>
    <n v="540"/>
    <n v="351"/>
    <n v="189"/>
  </r>
  <r>
    <s v="ORD0083"/>
    <x v="44"/>
    <x v="0"/>
    <s v="Mumbai"/>
    <x v="2"/>
    <x v="9"/>
    <s v="CUST0162"/>
    <x v="0"/>
    <n v="1"/>
    <n v="820"/>
    <n v="15"/>
    <n v="697"/>
    <n v="453.05"/>
    <n v="243.95"/>
  </r>
  <r>
    <s v="ORD0124"/>
    <x v="45"/>
    <x v="4"/>
    <s v="Pune"/>
    <x v="3"/>
    <x v="23"/>
    <s v="CUST0127"/>
    <x v="1"/>
    <n v="1"/>
    <n v="1820"/>
    <n v="10"/>
    <n v="1638"/>
    <n v="1064.7"/>
    <n v="573.29999999999995"/>
  </r>
  <r>
    <s v="ORD0341"/>
    <x v="45"/>
    <x v="2"/>
    <s v="Nashik"/>
    <x v="3"/>
    <x v="27"/>
    <s v="CUST0169"/>
    <x v="0"/>
    <n v="1"/>
    <n v="360"/>
    <n v="15"/>
    <n v="306"/>
    <n v="198.9"/>
    <n v="107.1"/>
  </r>
  <r>
    <s v="ORD0346"/>
    <x v="45"/>
    <x v="4"/>
    <s v="Pune"/>
    <x v="3"/>
    <x v="23"/>
    <s v="CUST0004"/>
    <x v="1"/>
    <n v="2"/>
    <n v="2040"/>
    <n v="5"/>
    <n v="3876"/>
    <n v="2519.4"/>
    <n v="1356.6"/>
  </r>
  <r>
    <s v="ORD0020"/>
    <x v="46"/>
    <x v="4"/>
    <s v="Pune"/>
    <x v="1"/>
    <x v="12"/>
    <s v="CUST0151"/>
    <x v="0"/>
    <n v="2"/>
    <n v="680"/>
    <n v="5"/>
    <n v="1292"/>
    <n v="839.80000000000007"/>
    <n v="452.19999999999993"/>
  </r>
  <r>
    <s v="ORD0365"/>
    <x v="47"/>
    <x v="0"/>
    <s v="Mumbai"/>
    <x v="2"/>
    <x v="10"/>
    <s v="CUST0147"/>
    <x v="0"/>
    <n v="3"/>
    <n v="650"/>
    <n v="10"/>
    <n v="1755"/>
    <n v="1140.75"/>
    <n v="614.25"/>
  </r>
  <r>
    <s v="ORD0048"/>
    <x v="48"/>
    <x v="3"/>
    <s v="Nagpur"/>
    <x v="0"/>
    <x v="28"/>
    <s v="CUST0179"/>
    <x v="1"/>
    <n v="1"/>
    <n v="100"/>
    <n v="5"/>
    <n v="95"/>
    <n v="61.75"/>
    <n v="33.25"/>
  </r>
  <r>
    <s v="ORD0186"/>
    <x v="48"/>
    <x v="3"/>
    <s v="Nagpur"/>
    <x v="2"/>
    <x v="7"/>
    <s v="CUST0099"/>
    <x v="0"/>
    <n v="1"/>
    <n v="310"/>
    <n v="15"/>
    <n v="263.5"/>
    <n v="171.27500000000001"/>
    <n v="92.224999999999994"/>
  </r>
  <r>
    <s v="ORD0018"/>
    <x v="49"/>
    <x v="4"/>
    <s v="Pune"/>
    <x v="2"/>
    <x v="3"/>
    <s v="CUST0156"/>
    <x v="0"/>
    <n v="1"/>
    <n v="240"/>
    <n v="15"/>
    <n v="204"/>
    <n v="132.6"/>
    <n v="71.400000000000006"/>
  </r>
  <r>
    <s v="ORD0081"/>
    <x v="49"/>
    <x v="3"/>
    <s v="Nagpur"/>
    <x v="3"/>
    <x v="23"/>
    <s v="CUST0179"/>
    <x v="2"/>
    <n v="2"/>
    <n v="1920"/>
    <n v="15"/>
    <n v="3264"/>
    <n v="2121.6"/>
    <n v="1142.4000000000001"/>
  </r>
  <r>
    <s v="ORD0038"/>
    <x v="50"/>
    <x v="3"/>
    <s v="Nagpur"/>
    <x v="1"/>
    <x v="11"/>
    <s v="CUST0110"/>
    <x v="0"/>
    <n v="1"/>
    <n v="1510"/>
    <n v="15"/>
    <n v="1283.5"/>
    <n v="834.27499999999998"/>
    <n v="449.22500000000002"/>
  </r>
  <r>
    <s v="ORD0150"/>
    <x v="50"/>
    <x v="2"/>
    <s v="Nashik"/>
    <x v="1"/>
    <x v="8"/>
    <s v="CUST0190"/>
    <x v="1"/>
    <n v="1"/>
    <n v="320"/>
    <n v="0"/>
    <n v="320"/>
    <n v="208"/>
    <n v="112"/>
  </r>
  <r>
    <s v="ORD0208"/>
    <x v="50"/>
    <x v="3"/>
    <s v="Nagpur"/>
    <x v="3"/>
    <x v="29"/>
    <s v="CUST0032"/>
    <x v="1"/>
    <n v="1"/>
    <n v="620"/>
    <n v="0"/>
    <n v="620"/>
    <n v="403"/>
    <n v="217"/>
  </r>
  <r>
    <s v="ORD0363"/>
    <x v="50"/>
    <x v="4"/>
    <s v="Pune"/>
    <x v="2"/>
    <x v="20"/>
    <s v="CUST0166"/>
    <x v="1"/>
    <n v="2"/>
    <n v="470"/>
    <n v="0"/>
    <n v="940"/>
    <n v="611"/>
    <n v="329"/>
  </r>
  <r>
    <s v="ORD0427"/>
    <x v="50"/>
    <x v="1"/>
    <s v="Aurangabad"/>
    <x v="2"/>
    <x v="7"/>
    <s v="CUST0123"/>
    <x v="0"/>
    <n v="1"/>
    <n v="290"/>
    <n v="5"/>
    <n v="275.5"/>
    <n v="179.07500000000002"/>
    <n v="96.424999999999983"/>
  </r>
  <r>
    <s v="ORD0446"/>
    <x v="50"/>
    <x v="2"/>
    <s v="Nashik"/>
    <x v="2"/>
    <x v="26"/>
    <s v="CUST0113"/>
    <x v="1"/>
    <n v="1"/>
    <n v="540"/>
    <n v="5"/>
    <n v="513"/>
    <n v="333.45"/>
    <n v="179.55"/>
  </r>
  <r>
    <s v="ORD0119"/>
    <x v="51"/>
    <x v="1"/>
    <s v="Aurangabad"/>
    <x v="0"/>
    <x v="30"/>
    <s v="CUST0066"/>
    <x v="2"/>
    <n v="4"/>
    <n v="90"/>
    <n v="15"/>
    <n v="306"/>
    <n v="198.9"/>
    <n v="107.1"/>
  </r>
  <r>
    <s v="ORD0325"/>
    <x v="51"/>
    <x v="3"/>
    <s v="Nagpur"/>
    <x v="1"/>
    <x v="16"/>
    <s v="CUST0093"/>
    <x v="1"/>
    <n v="1"/>
    <n v="550"/>
    <n v="10"/>
    <n v="495"/>
    <n v="321.75"/>
    <n v="173.25"/>
  </r>
  <r>
    <s v="ORD0413"/>
    <x v="51"/>
    <x v="4"/>
    <s v="Pune"/>
    <x v="3"/>
    <x v="21"/>
    <s v="CUST0079"/>
    <x v="0"/>
    <n v="3"/>
    <n v="760"/>
    <n v="10"/>
    <n v="2052"/>
    <n v="1333.8"/>
    <n v="718.2"/>
  </r>
  <r>
    <s v="ORD0463"/>
    <x v="51"/>
    <x v="4"/>
    <s v="Pune"/>
    <x v="0"/>
    <x v="22"/>
    <s v="CUST0144"/>
    <x v="0"/>
    <n v="2"/>
    <n v="160"/>
    <n v="15"/>
    <n v="272"/>
    <n v="176.8"/>
    <n v="95.199999999999989"/>
  </r>
  <r>
    <s v="ORD0125"/>
    <x v="52"/>
    <x v="2"/>
    <s v="Nashik"/>
    <x v="2"/>
    <x v="20"/>
    <s v="CUST0191"/>
    <x v="0"/>
    <n v="2"/>
    <n v="460"/>
    <n v="15"/>
    <n v="782"/>
    <n v="508.3"/>
    <n v="273.7"/>
  </r>
  <r>
    <s v="ORD0012"/>
    <x v="53"/>
    <x v="1"/>
    <s v="Aurangabad"/>
    <x v="2"/>
    <x v="26"/>
    <s v="CUST0029"/>
    <x v="1"/>
    <n v="1"/>
    <n v="520"/>
    <n v="10"/>
    <n v="468"/>
    <n v="304.2"/>
    <n v="163.80000000000001"/>
  </r>
  <r>
    <s v="ORD0342"/>
    <x v="53"/>
    <x v="0"/>
    <s v="Mumbai"/>
    <x v="1"/>
    <x v="11"/>
    <s v="CUST0134"/>
    <x v="0"/>
    <n v="3"/>
    <n v="1630"/>
    <n v="10"/>
    <n v="4401"/>
    <n v="2860.65"/>
    <n v="1540.35"/>
  </r>
  <r>
    <s v="ORD0368"/>
    <x v="53"/>
    <x v="2"/>
    <s v="Nashik"/>
    <x v="1"/>
    <x v="4"/>
    <s v="CUST0140"/>
    <x v="2"/>
    <n v="5"/>
    <n v="1230"/>
    <n v="20"/>
    <n v="4920"/>
    <n v="3198"/>
    <n v="1722"/>
  </r>
  <r>
    <s v="ORD0436"/>
    <x v="53"/>
    <x v="2"/>
    <s v="Nashik"/>
    <x v="3"/>
    <x v="5"/>
    <s v="CUST0028"/>
    <x v="0"/>
    <n v="2"/>
    <n v="3350"/>
    <n v="10"/>
    <n v="6030"/>
    <n v="3919.5"/>
    <n v="2110.5"/>
  </r>
  <r>
    <s v="ORD0025"/>
    <x v="54"/>
    <x v="2"/>
    <s v="Nashik"/>
    <x v="1"/>
    <x v="16"/>
    <s v="CUST0020"/>
    <x v="0"/>
    <n v="4"/>
    <n v="590"/>
    <n v="15"/>
    <n v="2006"/>
    <n v="1303.9000000000001"/>
    <n v="702.09999999999991"/>
  </r>
  <r>
    <s v="ORD0217"/>
    <x v="54"/>
    <x v="3"/>
    <s v="Nagpur"/>
    <x v="0"/>
    <x v="15"/>
    <s v="CUST0158"/>
    <x v="0"/>
    <n v="1"/>
    <n v="130"/>
    <n v="10"/>
    <n v="117"/>
    <n v="76.05"/>
    <n v="40.950000000000003"/>
  </r>
  <r>
    <s v="ORD0253"/>
    <x v="54"/>
    <x v="1"/>
    <s v="Aurangabad"/>
    <x v="0"/>
    <x v="2"/>
    <s v="CUST0188"/>
    <x v="0"/>
    <n v="2"/>
    <n v="260"/>
    <n v="15"/>
    <n v="442"/>
    <n v="287.3"/>
    <n v="154.69999999999999"/>
  </r>
  <r>
    <s v="ORD0308"/>
    <x v="55"/>
    <x v="1"/>
    <s v="Aurangabad"/>
    <x v="2"/>
    <x v="7"/>
    <s v="CUST0148"/>
    <x v="0"/>
    <n v="1"/>
    <n v="300"/>
    <n v="15"/>
    <n v="255"/>
    <n v="165.75"/>
    <n v="89.25"/>
  </r>
  <r>
    <s v="ORD0425"/>
    <x v="56"/>
    <x v="3"/>
    <s v="Nagpur"/>
    <x v="1"/>
    <x v="12"/>
    <s v="CUST0162"/>
    <x v="2"/>
    <n v="1"/>
    <n v="700"/>
    <n v="10"/>
    <n v="630"/>
    <n v="409.5"/>
    <n v="220.5"/>
  </r>
  <r>
    <s v="ORD0131"/>
    <x v="57"/>
    <x v="4"/>
    <s v="Pune"/>
    <x v="0"/>
    <x v="15"/>
    <s v="CUST0007"/>
    <x v="1"/>
    <n v="1"/>
    <n v="120"/>
    <n v="0"/>
    <n v="120"/>
    <n v="78"/>
    <n v="42"/>
  </r>
  <r>
    <s v="ORD0264"/>
    <x v="57"/>
    <x v="0"/>
    <s v="Mumbai"/>
    <x v="0"/>
    <x v="28"/>
    <s v="CUST0051"/>
    <x v="0"/>
    <n v="1"/>
    <n v="90"/>
    <n v="5"/>
    <n v="85.5"/>
    <n v="55.575000000000003"/>
    <n v="29.924999999999997"/>
  </r>
  <r>
    <s v="ORD0052"/>
    <x v="58"/>
    <x v="0"/>
    <s v="Mumbai"/>
    <x v="3"/>
    <x v="21"/>
    <s v="CUST0157"/>
    <x v="2"/>
    <n v="1"/>
    <n v="880"/>
    <n v="15"/>
    <n v="748"/>
    <n v="486.2"/>
    <n v="261.8"/>
  </r>
  <r>
    <s v="ORD0398"/>
    <x v="58"/>
    <x v="1"/>
    <s v="Aurangabad"/>
    <x v="0"/>
    <x v="18"/>
    <s v="CUST0018"/>
    <x v="1"/>
    <n v="2"/>
    <n v="220"/>
    <n v="10"/>
    <n v="396"/>
    <n v="257.40000000000003"/>
    <n v="138.59999999999997"/>
  </r>
  <r>
    <s v="ORD0039"/>
    <x v="59"/>
    <x v="1"/>
    <s v="Aurangabad"/>
    <x v="3"/>
    <x v="29"/>
    <s v="CUST0038"/>
    <x v="0"/>
    <n v="1"/>
    <n v="660"/>
    <n v="10"/>
    <n v="594"/>
    <n v="386.1"/>
    <n v="207.89999999999998"/>
  </r>
  <r>
    <s v="ORD0243"/>
    <x v="59"/>
    <x v="4"/>
    <s v="Pune"/>
    <x v="0"/>
    <x v="0"/>
    <s v="CUST0053"/>
    <x v="0"/>
    <n v="2"/>
    <n v="280"/>
    <n v="15"/>
    <n v="476"/>
    <n v="309.40000000000003"/>
    <n v="166.59999999999997"/>
  </r>
  <r>
    <s v="ORD0347"/>
    <x v="59"/>
    <x v="4"/>
    <s v="Pune"/>
    <x v="3"/>
    <x v="6"/>
    <s v="CUST0064"/>
    <x v="0"/>
    <n v="3"/>
    <n v="940"/>
    <n v="10"/>
    <n v="2538"/>
    <n v="1649.7"/>
    <n v="888.3"/>
  </r>
  <r>
    <s v="ORD0331"/>
    <x v="60"/>
    <x v="2"/>
    <s v="Nashik"/>
    <x v="2"/>
    <x v="19"/>
    <s v="CUST0026"/>
    <x v="1"/>
    <n v="1"/>
    <n v="1190"/>
    <n v="10"/>
    <n v="1071"/>
    <n v="696.15"/>
    <n v="374.85"/>
  </r>
  <r>
    <s v="ORD0016"/>
    <x v="61"/>
    <x v="3"/>
    <s v="Nagpur"/>
    <x v="1"/>
    <x v="24"/>
    <s v="CUST0126"/>
    <x v="1"/>
    <n v="4"/>
    <n v="510"/>
    <n v="5"/>
    <n v="1938"/>
    <n v="1259.7"/>
    <n v="678.3"/>
  </r>
  <r>
    <s v="ORD0389"/>
    <x v="61"/>
    <x v="0"/>
    <s v="Mumbai"/>
    <x v="0"/>
    <x v="31"/>
    <s v="CUST0076"/>
    <x v="2"/>
    <n v="2"/>
    <n v="340"/>
    <n v="15"/>
    <n v="578"/>
    <n v="375.7"/>
    <n v="202.3"/>
  </r>
  <r>
    <s v="ORD0126"/>
    <x v="62"/>
    <x v="2"/>
    <s v="Nashik"/>
    <x v="3"/>
    <x v="25"/>
    <s v="CUST0072"/>
    <x v="1"/>
    <n v="1"/>
    <n v="1530"/>
    <n v="5"/>
    <n v="1453.5"/>
    <n v="944.77499999999998"/>
    <n v="508.72500000000002"/>
  </r>
  <r>
    <s v="ORD0161"/>
    <x v="63"/>
    <x v="3"/>
    <s v="Nagpur"/>
    <x v="0"/>
    <x v="30"/>
    <s v="CUST0199"/>
    <x v="0"/>
    <n v="2"/>
    <n v="90"/>
    <n v="15"/>
    <n v="153"/>
    <n v="99.45"/>
    <n v="53.55"/>
  </r>
  <r>
    <s v="ORD0235"/>
    <x v="64"/>
    <x v="2"/>
    <s v="Nashik"/>
    <x v="0"/>
    <x v="15"/>
    <s v="CUST0087"/>
    <x v="2"/>
    <n v="2"/>
    <n v="120"/>
    <n v="10"/>
    <n v="216"/>
    <n v="140.4"/>
    <n v="75.599999999999994"/>
  </r>
  <r>
    <s v="ORD0326"/>
    <x v="65"/>
    <x v="0"/>
    <s v="Mumbai"/>
    <x v="2"/>
    <x v="17"/>
    <s v="CUST0194"/>
    <x v="1"/>
    <n v="2"/>
    <n v="420"/>
    <n v="10"/>
    <n v="756"/>
    <n v="491.40000000000003"/>
    <n v="264.59999999999997"/>
  </r>
  <r>
    <s v="ORD0110"/>
    <x v="66"/>
    <x v="3"/>
    <s v="Nagpur"/>
    <x v="3"/>
    <x v="23"/>
    <s v="CUST0015"/>
    <x v="1"/>
    <n v="1"/>
    <n v="1830"/>
    <n v="0"/>
    <n v="1830"/>
    <n v="1189.5"/>
    <n v="640.5"/>
  </r>
  <r>
    <s v="ORD0287"/>
    <x v="66"/>
    <x v="2"/>
    <s v="Nashik"/>
    <x v="0"/>
    <x v="28"/>
    <s v="CUST0020"/>
    <x v="0"/>
    <n v="4"/>
    <n v="100"/>
    <n v="15"/>
    <n v="340"/>
    <n v="221"/>
    <n v="119"/>
  </r>
  <r>
    <s v="ORD0343"/>
    <x v="66"/>
    <x v="3"/>
    <s v="Nagpur"/>
    <x v="1"/>
    <x v="16"/>
    <s v="CUST0031"/>
    <x v="2"/>
    <n v="1"/>
    <n v="630"/>
    <n v="15"/>
    <n v="535.5"/>
    <n v="348.07499999999999"/>
    <n v="187.42500000000001"/>
  </r>
  <r>
    <s v="ORD0382"/>
    <x v="66"/>
    <x v="0"/>
    <s v="Mumbai"/>
    <x v="0"/>
    <x v="0"/>
    <s v="CUST0054"/>
    <x v="1"/>
    <n v="1"/>
    <n v="270"/>
    <n v="5"/>
    <n v="256.5"/>
    <n v="166.72499999999999"/>
    <n v="89.775000000000006"/>
  </r>
  <r>
    <s v="ORD0478"/>
    <x v="66"/>
    <x v="1"/>
    <s v="Aurangabad"/>
    <x v="3"/>
    <x v="5"/>
    <s v="CUST0162"/>
    <x v="2"/>
    <n v="4"/>
    <n v="3300"/>
    <n v="15"/>
    <n v="11220"/>
    <n v="7293"/>
    <n v="3927"/>
  </r>
  <r>
    <s v="ORD0051"/>
    <x v="67"/>
    <x v="0"/>
    <s v="Mumbai"/>
    <x v="0"/>
    <x v="18"/>
    <s v="CUST0193"/>
    <x v="1"/>
    <n v="1"/>
    <n v="180"/>
    <n v="0"/>
    <n v="180"/>
    <n v="117"/>
    <n v="63"/>
  </r>
  <r>
    <s v="ORD0152"/>
    <x v="68"/>
    <x v="1"/>
    <s v="Aurangabad"/>
    <x v="2"/>
    <x v="20"/>
    <s v="CUST0028"/>
    <x v="1"/>
    <n v="2"/>
    <n v="410"/>
    <n v="10"/>
    <n v="738"/>
    <n v="479.7"/>
    <n v="258.3"/>
  </r>
  <r>
    <s v="ORD0274"/>
    <x v="68"/>
    <x v="0"/>
    <s v="Mumbai"/>
    <x v="2"/>
    <x v="7"/>
    <s v="CUST0085"/>
    <x v="0"/>
    <n v="4"/>
    <n v="310"/>
    <n v="5"/>
    <n v="1178"/>
    <n v="765.7"/>
    <n v="412.29999999999995"/>
  </r>
  <r>
    <s v="ORD0232"/>
    <x v="69"/>
    <x v="2"/>
    <s v="Nashik"/>
    <x v="1"/>
    <x v="24"/>
    <s v="CUST0102"/>
    <x v="2"/>
    <n v="1"/>
    <n v="550"/>
    <n v="20"/>
    <n v="440"/>
    <n v="286"/>
    <n v="154"/>
  </r>
  <r>
    <s v="ORD0236"/>
    <x v="69"/>
    <x v="1"/>
    <s v="Aurangabad"/>
    <x v="2"/>
    <x v="7"/>
    <s v="CUST0023"/>
    <x v="0"/>
    <n v="1"/>
    <n v="300"/>
    <n v="5"/>
    <n v="285"/>
    <n v="185.25"/>
    <n v="99.75"/>
  </r>
  <r>
    <s v="ORD0168"/>
    <x v="70"/>
    <x v="1"/>
    <s v="Aurangabad"/>
    <x v="1"/>
    <x v="11"/>
    <s v="CUST0094"/>
    <x v="0"/>
    <n v="1"/>
    <n v="1360"/>
    <n v="10"/>
    <n v="1224"/>
    <n v="795.6"/>
    <n v="428.4"/>
  </r>
  <r>
    <s v="ORD0260"/>
    <x v="71"/>
    <x v="1"/>
    <s v="Aurangabad"/>
    <x v="1"/>
    <x v="11"/>
    <s v="CUST0086"/>
    <x v="0"/>
    <n v="4"/>
    <n v="1410"/>
    <n v="5"/>
    <n v="5358"/>
    <n v="3482.7000000000003"/>
    <n v="1875.2999999999997"/>
  </r>
  <r>
    <s v="ORD0117"/>
    <x v="72"/>
    <x v="1"/>
    <s v="Aurangabad"/>
    <x v="0"/>
    <x v="15"/>
    <s v="CUST0161"/>
    <x v="0"/>
    <n v="1"/>
    <n v="130"/>
    <n v="10"/>
    <n v="117"/>
    <n v="76.05"/>
    <n v="40.950000000000003"/>
  </r>
  <r>
    <s v="ORD0261"/>
    <x v="72"/>
    <x v="0"/>
    <s v="Mumbai"/>
    <x v="2"/>
    <x v="19"/>
    <s v="CUST0181"/>
    <x v="1"/>
    <n v="4"/>
    <n v="1350"/>
    <n v="10"/>
    <n v="4860"/>
    <n v="3159"/>
    <n v="1701"/>
  </r>
  <r>
    <s v="ORD0397"/>
    <x v="73"/>
    <x v="4"/>
    <s v="Pune"/>
    <x v="3"/>
    <x v="6"/>
    <s v="CUST0175"/>
    <x v="0"/>
    <n v="5"/>
    <n v="910"/>
    <n v="15"/>
    <n v="3867.5"/>
    <n v="2513.875"/>
    <n v="1353.625"/>
  </r>
  <r>
    <s v="ORD0351"/>
    <x v="74"/>
    <x v="1"/>
    <s v="Aurangabad"/>
    <x v="1"/>
    <x v="13"/>
    <s v="CUST0105"/>
    <x v="1"/>
    <n v="2"/>
    <n v="810"/>
    <n v="10"/>
    <n v="1458"/>
    <n v="947.7"/>
    <n v="510.29999999999995"/>
  </r>
  <r>
    <s v="ORD0003"/>
    <x v="75"/>
    <x v="1"/>
    <s v="Aurangabad"/>
    <x v="2"/>
    <x v="19"/>
    <s v="CUST0072"/>
    <x v="2"/>
    <n v="1"/>
    <n v="1290"/>
    <n v="10"/>
    <n v="1161"/>
    <n v="754.65"/>
    <n v="406.35"/>
  </r>
  <r>
    <s v="ORD0089"/>
    <x v="75"/>
    <x v="2"/>
    <s v="Nashik"/>
    <x v="3"/>
    <x v="21"/>
    <s v="CUST0069"/>
    <x v="2"/>
    <n v="1"/>
    <n v="820"/>
    <n v="10"/>
    <n v="738"/>
    <n v="479.7"/>
    <n v="258.3"/>
  </r>
  <r>
    <s v="ORD0171"/>
    <x v="76"/>
    <x v="1"/>
    <s v="Aurangabad"/>
    <x v="1"/>
    <x v="16"/>
    <s v="CUST0124"/>
    <x v="2"/>
    <n v="2"/>
    <n v="550"/>
    <n v="10"/>
    <n v="990"/>
    <n v="643.5"/>
    <n v="346.5"/>
  </r>
  <r>
    <s v="ORD0390"/>
    <x v="76"/>
    <x v="0"/>
    <s v="Mumbai"/>
    <x v="3"/>
    <x v="21"/>
    <s v="CUST0075"/>
    <x v="2"/>
    <n v="2"/>
    <n v="750"/>
    <n v="10"/>
    <n v="1350"/>
    <n v="877.5"/>
    <n v="472.5"/>
  </r>
  <r>
    <s v="ORD0032"/>
    <x v="77"/>
    <x v="3"/>
    <s v="Nagpur"/>
    <x v="1"/>
    <x v="16"/>
    <s v="CUST0172"/>
    <x v="0"/>
    <n v="2"/>
    <n v="590"/>
    <n v="5"/>
    <n v="1121"/>
    <n v="728.65"/>
    <n v="392.35"/>
  </r>
  <r>
    <s v="ORD0207"/>
    <x v="77"/>
    <x v="3"/>
    <s v="Nagpur"/>
    <x v="1"/>
    <x v="8"/>
    <s v="CUST0082"/>
    <x v="0"/>
    <n v="4"/>
    <n v="370"/>
    <n v="10"/>
    <n v="1332"/>
    <n v="865.80000000000007"/>
    <n v="466.19999999999993"/>
  </r>
  <r>
    <s v="ORD0222"/>
    <x v="77"/>
    <x v="2"/>
    <s v="Nashik"/>
    <x v="2"/>
    <x v="10"/>
    <s v="CUST0133"/>
    <x v="1"/>
    <n v="1"/>
    <n v="730"/>
    <n v="10"/>
    <n v="657"/>
    <n v="427.05"/>
    <n v="229.95"/>
  </r>
  <r>
    <s v="ORD0353"/>
    <x v="78"/>
    <x v="1"/>
    <s v="Aurangabad"/>
    <x v="1"/>
    <x v="1"/>
    <s v="CUST0016"/>
    <x v="2"/>
    <n v="1"/>
    <n v="750"/>
    <n v="15"/>
    <n v="637.5"/>
    <n v="414.375"/>
    <n v="223.125"/>
  </r>
  <r>
    <s v="ORD0453"/>
    <x v="78"/>
    <x v="2"/>
    <s v="Nashik"/>
    <x v="0"/>
    <x v="18"/>
    <s v="CUST0058"/>
    <x v="2"/>
    <n v="1"/>
    <n v="210"/>
    <n v="20"/>
    <n v="168"/>
    <n v="109.2"/>
    <n v="58.8"/>
  </r>
  <r>
    <s v="ORD0130"/>
    <x v="79"/>
    <x v="1"/>
    <s v="Aurangabad"/>
    <x v="1"/>
    <x v="4"/>
    <s v="CUST0038"/>
    <x v="2"/>
    <n v="2"/>
    <n v="1160"/>
    <n v="15"/>
    <n v="1972"/>
    <n v="1281.8"/>
    <n v="690.2"/>
  </r>
  <r>
    <s v="ORD0010"/>
    <x v="80"/>
    <x v="1"/>
    <s v="Aurangabad"/>
    <x v="0"/>
    <x v="2"/>
    <s v="CUST0102"/>
    <x v="2"/>
    <n v="2"/>
    <n v="260"/>
    <n v="10"/>
    <n v="468"/>
    <n v="304.2"/>
    <n v="163.80000000000001"/>
  </r>
  <r>
    <s v="ORD0064"/>
    <x v="80"/>
    <x v="2"/>
    <s v="Nashik"/>
    <x v="0"/>
    <x v="18"/>
    <s v="CUST0098"/>
    <x v="1"/>
    <n v="5"/>
    <n v="210"/>
    <n v="5"/>
    <n v="997.5"/>
    <n v="648.375"/>
    <n v="349.125"/>
  </r>
  <r>
    <s v="ORD0043"/>
    <x v="81"/>
    <x v="4"/>
    <s v="Pune"/>
    <x v="2"/>
    <x v="20"/>
    <s v="CUST0059"/>
    <x v="1"/>
    <n v="2"/>
    <n v="430"/>
    <n v="5"/>
    <n v="817"/>
    <n v="531.05000000000007"/>
    <n v="285.94999999999993"/>
  </r>
  <r>
    <s v="ORD0240"/>
    <x v="81"/>
    <x v="4"/>
    <s v="Pune"/>
    <x v="1"/>
    <x v="11"/>
    <s v="CUST0192"/>
    <x v="2"/>
    <n v="1"/>
    <n v="1400"/>
    <n v="20"/>
    <n v="1120"/>
    <n v="728"/>
    <n v="392"/>
  </r>
  <r>
    <s v="ORD0487"/>
    <x v="81"/>
    <x v="1"/>
    <s v="Aurangabad"/>
    <x v="0"/>
    <x v="2"/>
    <s v="CUST0172"/>
    <x v="2"/>
    <n v="4"/>
    <n v="230"/>
    <n v="20"/>
    <n v="736"/>
    <n v="478.40000000000003"/>
    <n v="257.59999999999997"/>
  </r>
  <r>
    <s v="ORD0379"/>
    <x v="82"/>
    <x v="1"/>
    <s v="Aurangabad"/>
    <x v="1"/>
    <x v="1"/>
    <s v="CUST0177"/>
    <x v="1"/>
    <n v="1"/>
    <n v="720"/>
    <n v="0"/>
    <n v="720"/>
    <n v="468"/>
    <n v="252"/>
  </r>
  <r>
    <s v="ORD0202"/>
    <x v="83"/>
    <x v="3"/>
    <s v="Nagpur"/>
    <x v="0"/>
    <x v="22"/>
    <s v="CUST0163"/>
    <x v="2"/>
    <n v="1"/>
    <n v="140"/>
    <n v="20"/>
    <n v="112"/>
    <n v="72.8"/>
    <n v="39.200000000000003"/>
  </r>
  <r>
    <s v="ORD0412"/>
    <x v="83"/>
    <x v="4"/>
    <s v="Pune"/>
    <x v="0"/>
    <x v="28"/>
    <s v="CUST0200"/>
    <x v="2"/>
    <n v="2"/>
    <n v="100"/>
    <n v="15"/>
    <n v="170"/>
    <n v="110.5"/>
    <n v="59.5"/>
  </r>
  <r>
    <s v="ORD0469"/>
    <x v="83"/>
    <x v="3"/>
    <s v="Nagpur"/>
    <x v="1"/>
    <x v="4"/>
    <s v="CUST0046"/>
    <x v="2"/>
    <n v="1"/>
    <n v="1150"/>
    <n v="10"/>
    <n v="1035"/>
    <n v="672.75"/>
    <n v="362.25"/>
  </r>
  <r>
    <s v="ORD0220"/>
    <x v="84"/>
    <x v="0"/>
    <s v="Mumbai"/>
    <x v="2"/>
    <x v="3"/>
    <s v="CUST0185"/>
    <x v="0"/>
    <n v="3"/>
    <n v="250"/>
    <n v="5"/>
    <n v="712.5"/>
    <n v="463.125"/>
    <n v="249.375"/>
  </r>
  <r>
    <s v="ORD0394"/>
    <x v="84"/>
    <x v="1"/>
    <s v="Aurangabad"/>
    <x v="3"/>
    <x v="6"/>
    <s v="CUST0108"/>
    <x v="2"/>
    <n v="2"/>
    <n v="1060"/>
    <n v="15"/>
    <n v="1802"/>
    <n v="1171.3"/>
    <n v="630.70000000000005"/>
  </r>
  <r>
    <s v="ORD0007"/>
    <x v="85"/>
    <x v="0"/>
    <s v="Mumbai"/>
    <x v="2"/>
    <x v="17"/>
    <s v="CUST0094"/>
    <x v="1"/>
    <n v="1"/>
    <n v="400"/>
    <n v="10"/>
    <n v="360"/>
    <n v="234"/>
    <n v="126"/>
  </r>
  <r>
    <s v="ORD0174"/>
    <x v="86"/>
    <x v="2"/>
    <s v="Nashik"/>
    <x v="3"/>
    <x v="29"/>
    <s v="CUST0082"/>
    <x v="2"/>
    <n v="3"/>
    <n v="610"/>
    <n v="20"/>
    <n v="1464"/>
    <n v="951.6"/>
    <n v="512.4"/>
  </r>
  <r>
    <s v="ORD0356"/>
    <x v="87"/>
    <x v="3"/>
    <s v="Nagpur"/>
    <x v="0"/>
    <x v="18"/>
    <s v="CUST0101"/>
    <x v="0"/>
    <n v="3"/>
    <n v="220"/>
    <n v="10"/>
    <n v="594"/>
    <n v="386.1"/>
    <n v="207.89999999999998"/>
  </r>
  <r>
    <s v="ORD0017"/>
    <x v="88"/>
    <x v="0"/>
    <s v="Mumbai"/>
    <x v="1"/>
    <x v="12"/>
    <s v="CUST0125"/>
    <x v="2"/>
    <n v="5"/>
    <n v="640"/>
    <n v="20"/>
    <n v="2560"/>
    <n v="1664"/>
    <n v="896"/>
  </r>
  <r>
    <s v="ORD0112"/>
    <x v="89"/>
    <x v="2"/>
    <s v="Nashik"/>
    <x v="1"/>
    <x v="4"/>
    <s v="CUST0066"/>
    <x v="0"/>
    <n v="2"/>
    <n v="1190"/>
    <n v="10"/>
    <n v="2142"/>
    <n v="1392.3"/>
    <n v="749.7"/>
  </r>
  <r>
    <s v="ORD0257"/>
    <x v="89"/>
    <x v="4"/>
    <s v="Pune"/>
    <x v="0"/>
    <x v="15"/>
    <s v="CUST0015"/>
    <x v="0"/>
    <n v="5"/>
    <n v="140"/>
    <n v="15"/>
    <n v="595"/>
    <n v="386.75"/>
    <n v="208.25"/>
  </r>
  <r>
    <s v="ORD0034"/>
    <x v="90"/>
    <x v="3"/>
    <s v="Nagpur"/>
    <x v="0"/>
    <x v="15"/>
    <s v="CUST0140"/>
    <x v="0"/>
    <n v="2"/>
    <n v="130"/>
    <n v="15"/>
    <n v="221"/>
    <n v="143.65"/>
    <n v="77.349999999999994"/>
  </r>
  <r>
    <s v="ORD0111"/>
    <x v="90"/>
    <x v="1"/>
    <s v="Aurangabad"/>
    <x v="2"/>
    <x v="3"/>
    <s v="CUST0021"/>
    <x v="0"/>
    <n v="1"/>
    <n v="230"/>
    <n v="15"/>
    <n v="195.5"/>
    <n v="127.075"/>
    <n v="68.424999999999997"/>
  </r>
  <r>
    <s v="ORD0206"/>
    <x v="90"/>
    <x v="2"/>
    <s v="Nashik"/>
    <x v="0"/>
    <x v="0"/>
    <s v="CUST0016"/>
    <x v="1"/>
    <n v="2"/>
    <n v="270"/>
    <n v="5"/>
    <n v="513"/>
    <n v="333.45"/>
    <n v="179.55"/>
  </r>
  <r>
    <s v="ORD0031"/>
    <x v="91"/>
    <x v="1"/>
    <s v="Aurangabad"/>
    <x v="3"/>
    <x v="5"/>
    <s v="CUST0150"/>
    <x v="0"/>
    <n v="1"/>
    <n v="3440"/>
    <n v="10"/>
    <n v="3096"/>
    <n v="2012.4"/>
    <n v="1083.5999999999999"/>
  </r>
  <r>
    <s v="ORD0250"/>
    <x v="91"/>
    <x v="2"/>
    <s v="Nashik"/>
    <x v="0"/>
    <x v="15"/>
    <s v="CUST0186"/>
    <x v="2"/>
    <n v="1"/>
    <n v="120"/>
    <n v="20"/>
    <n v="96"/>
    <n v="62.400000000000006"/>
    <n v="33.599999999999994"/>
  </r>
  <r>
    <s v="ORD0296"/>
    <x v="92"/>
    <x v="3"/>
    <s v="Nagpur"/>
    <x v="1"/>
    <x v="24"/>
    <s v="CUST0166"/>
    <x v="0"/>
    <n v="1"/>
    <n v="510"/>
    <n v="10"/>
    <n v="459"/>
    <n v="298.35000000000002"/>
    <n v="160.64999999999998"/>
  </r>
  <r>
    <s v="ORD0319"/>
    <x v="92"/>
    <x v="4"/>
    <s v="Pune"/>
    <x v="0"/>
    <x v="2"/>
    <s v="CUST0174"/>
    <x v="0"/>
    <n v="1"/>
    <n v="260"/>
    <n v="15"/>
    <n v="221"/>
    <n v="143.65"/>
    <n v="77.349999999999994"/>
  </r>
  <r>
    <s v="ORD0448"/>
    <x v="92"/>
    <x v="2"/>
    <s v="Nashik"/>
    <x v="0"/>
    <x v="28"/>
    <s v="CUST0143"/>
    <x v="2"/>
    <n v="2"/>
    <n v="90"/>
    <n v="10"/>
    <n v="162"/>
    <n v="105.3"/>
    <n v="56.7"/>
  </r>
  <r>
    <s v="ORD0092"/>
    <x v="93"/>
    <x v="0"/>
    <s v="Mumbai"/>
    <x v="3"/>
    <x v="21"/>
    <s v="CUST0148"/>
    <x v="0"/>
    <n v="1"/>
    <n v="870"/>
    <n v="15"/>
    <n v="739.5"/>
    <n v="480.67500000000001"/>
    <n v="258.82499999999999"/>
  </r>
  <r>
    <s v="ORD0065"/>
    <x v="94"/>
    <x v="0"/>
    <s v="Mumbai"/>
    <x v="2"/>
    <x v="10"/>
    <s v="CUST0014"/>
    <x v="2"/>
    <n v="1"/>
    <n v="730"/>
    <n v="20"/>
    <n v="584"/>
    <n v="379.6"/>
    <n v="204.39999999999998"/>
  </r>
  <r>
    <s v="ORD0433"/>
    <x v="95"/>
    <x v="1"/>
    <s v="Aurangabad"/>
    <x v="3"/>
    <x v="23"/>
    <s v="CUST0168"/>
    <x v="2"/>
    <n v="1"/>
    <n v="1960"/>
    <n v="10"/>
    <n v="1764"/>
    <n v="1146.6000000000001"/>
    <n v="617.39999999999986"/>
  </r>
  <r>
    <s v="ORD0155"/>
    <x v="96"/>
    <x v="4"/>
    <s v="Pune"/>
    <x v="1"/>
    <x v="13"/>
    <s v="CUST0168"/>
    <x v="1"/>
    <n v="5"/>
    <n v="950"/>
    <n v="10"/>
    <n v="4275"/>
    <n v="2778.75"/>
    <n v="1496.25"/>
  </r>
  <r>
    <s v="ORD0421"/>
    <x v="97"/>
    <x v="1"/>
    <s v="Aurangabad"/>
    <x v="1"/>
    <x v="8"/>
    <s v="CUST0057"/>
    <x v="0"/>
    <n v="3"/>
    <n v="360"/>
    <n v="10"/>
    <n v="972"/>
    <n v="631.80000000000007"/>
    <n v="340.19999999999993"/>
  </r>
  <r>
    <s v="ORD0015"/>
    <x v="98"/>
    <x v="1"/>
    <s v="Aurangabad"/>
    <x v="1"/>
    <x v="12"/>
    <s v="CUST0077"/>
    <x v="2"/>
    <n v="2"/>
    <n v="750"/>
    <n v="10"/>
    <n v="1350"/>
    <n v="877.5"/>
    <n v="472.5"/>
  </r>
  <r>
    <s v="ORD0337"/>
    <x v="98"/>
    <x v="4"/>
    <s v="Pune"/>
    <x v="3"/>
    <x v="23"/>
    <s v="CUST0102"/>
    <x v="0"/>
    <n v="2"/>
    <n v="2070"/>
    <n v="15"/>
    <n v="3519"/>
    <n v="2287.35"/>
    <n v="1231.6500000000001"/>
  </r>
  <r>
    <s v="ORD0011"/>
    <x v="99"/>
    <x v="4"/>
    <s v="Pune"/>
    <x v="1"/>
    <x v="16"/>
    <s v="CUST0110"/>
    <x v="2"/>
    <n v="1"/>
    <n v="630"/>
    <n v="10"/>
    <n v="567"/>
    <n v="368.55"/>
    <n v="198.45"/>
  </r>
  <r>
    <s v="ORD0008"/>
    <x v="100"/>
    <x v="0"/>
    <s v="Mumbai"/>
    <x v="1"/>
    <x v="4"/>
    <s v="CUST0098"/>
    <x v="1"/>
    <n v="4"/>
    <n v="1120"/>
    <n v="10"/>
    <n v="4032"/>
    <n v="2620.8000000000002"/>
    <n v="1411.1999999999998"/>
  </r>
  <r>
    <s v="ORD0093"/>
    <x v="101"/>
    <x v="1"/>
    <s v="Aurangabad"/>
    <x v="3"/>
    <x v="14"/>
    <s v="CUST0167"/>
    <x v="0"/>
    <n v="1"/>
    <n v="1290"/>
    <n v="15"/>
    <n v="1096.5"/>
    <n v="712.72500000000002"/>
    <n v="383.77499999999998"/>
  </r>
  <r>
    <s v="ORD0282"/>
    <x v="101"/>
    <x v="4"/>
    <s v="Pune"/>
    <x v="2"/>
    <x v="3"/>
    <s v="CUST0082"/>
    <x v="0"/>
    <n v="1"/>
    <n v="260"/>
    <n v="10"/>
    <n v="234"/>
    <n v="152.1"/>
    <n v="81.900000000000006"/>
  </r>
  <r>
    <s v="ORD0320"/>
    <x v="101"/>
    <x v="2"/>
    <s v="Nashik"/>
    <x v="2"/>
    <x v="9"/>
    <s v="CUST0197"/>
    <x v="1"/>
    <n v="2"/>
    <n v="820"/>
    <n v="5"/>
    <n v="1558"/>
    <n v="1012.7"/>
    <n v="545.29999999999995"/>
  </r>
  <r>
    <s v="ORD0403"/>
    <x v="101"/>
    <x v="3"/>
    <s v="Nagpur"/>
    <x v="3"/>
    <x v="29"/>
    <s v="CUST0078"/>
    <x v="0"/>
    <n v="3"/>
    <n v="690"/>
    <n v="15"/>
    <n v="1759.5"/>
    <n v="1143.675"/>
    <n v="615.82500000000005"/>
  </r>
  <r>
    <s v="ORD0228"/>
    <x v="102"/>
    <x v="1"/>
    <s v="Aurangabad"/>
    <x v="0"/>
    <x v="15"/>
    <s v="CUST0190"/>
    <x v="0"/>
    <n v="1"/>
    <n v="120"/>
    <n v="15"/>
    <n v="102"/>
    <n v="66.3"/>
    <n v="35.700000000000003"/>
  </r>
  <r>
    <s v="ORD0344"/>
    <x v="103"/>
    <x v="1"/>
    <s v="Aurangabad"/>
    <x v="3"/>
    <x v="27"/>
    <s v="CUST0148"/>
    <x v="0"/>
    <n v="2"/>
    <n v="360"/>
    <n v="15"/>
    <n v="612"/>
    <n v="397.8"/>
    <n v="214.2"/>
  </r>
  <r>
    <s v="ORD0136"/>
    <x v="104"/>
    <x v="1"/>
    <s v="Aurangabad"/>
    <x v="0"/>
    <x v="28"/>
    <s v="CUST0136"/>
    <x v="1"/>
    <n v="2"/>
    <n v="110"/>
    <n v="5"/>
    <n v="209"/>
    <n v="135.85"/>
    <n v="73.150000000000006"/>
  </r>
  <r>
    <s v="ORD0190"/>
    <x v="104"/>
    <x v="0"/>
    <s v="Mumbai"/>
    <x v="3"/>
    <x v="6"/>
    <s v="CUST0192"/>
    <x v="0"/>
    <n v="5"/>
    <n v="970"/>
    <n v="5"/>
    <n v="4607.5"/>
    <n v="2994.875"/>
    <n v="1612.625"/>
  </r>
  <r>
    <s v="ORD0270"/>
    <x v="104"/>
    <x v="1"/>
    <s v="Aurangabad"/>
    <x v="0"/>
    <x v="31"/>
    <s v="CUST0179"/>
    <x v="0"/>
    <n v="3"/>
    <n v="350"/>
    <n v="5"/>
    <n v="997.5"/>
    <n v="648.375"/>
    <n v="349.125"/>
  </r>
  <r>
    <s v="ORD0075"/>
    <x v="105"/>
    <x v="1"/>
    <s v="Aurangabad"/>
    <x v="3"/>
    <x v="21"/>
    <s v="CUST0185"/>
    <x v="0"/>
    <n v="2"/>
    <n v="730"/>
    <n v="5"/>
    <n v="1387"/>
    <n v="901.55000000000007"/>
    <n v="485.44999999999993"/>
  </r>
  <r>
    <s v="ORD0102"/>
    <x v="105"/>
    <x v="2"/>
    <s v="Nashik"/>
    <x v="0"/>
    <x v="30"/>
    <s v="CUST0073"/>
    <x v="0"/>
    <n v="3"/>
    <n v="90"/>
    <n v="15"/>
    <n v="229.5"/>
    <n v="149.17500000000001"/>
    <n v="80.324999999999989"/>
  </r>
  <r>
    <s v="ORD0450"/>
    <x v="106"/>
    <x v="0"/>
    <s v="Mumbai"/>
    <x v="1"/>
    <x v="1"/>
    <s v="CUST0061"/>
    <x v="1"/>
    <n v="2"/>
    <n v="730"/>
    <n v="10"/>
    <n v="1314"/>
    <n v="854.1"/>
    <n v="459.9"/>
  </r>
  <r>
    <s v="ORD0323"/>
    <x v="107"/>
    <x v="3"/>
    <s v="Nagpur"/>
    <x v="1"/>
    <x v="11"/>
    <s v="CUST0175"/>
    <x v="2"/>
    <n v="1"/>
    <n v="1590"/>
    <n v="20"/>
    <n v="1272"/>
    <n v="826.80000000000007"/>
    <n v="445.19999999999993"/>
  </r>
  <r>
    <s v="ORD0028"/>
    <x v="108"/>
    <x v="2"/>
    <s v="Nashik"/>
    <x v="2"/>
    <x v="3"/>
    <s v="CUST0056"/>
    <x v="2"/>
    <n v="2"/>
    <n v="230"/>
    <n v="20"/>
    <n v="368"/>
    <n v="239.20000000000002"/>
    <n v="128.79999999999998"/>
  </r>
  <r>
    <s v="ORD0195"/>
    <x v="108"/>
    <x v="2"/>
    <s v="Nashik"/>
    <x v="1"/>
    <x v="12"/>
    <s v="CUST0019"/>
    <x v="0"/>
    <n v="4"/>
    <n v="650"/>
    <n v="10"/>
    <n v="2340"/>
    <n v="1521"/>
    <n v="819"/>
  </r>
  <r>
    <s v="ORD0088"/>
    <x v="109"/>
    <x v="3"/>
    <s v="Nagpur"/>
    <x v="2"/>
    <x v="26"/>
    <s v="CUST0068"/>
    <x v="2"/>
    <n v="2"/>
    <n v="520"/>
    <n v="20"/>
    <n v="832"/>
    <n v="540.80000000000007"/>
    <n v="291.19999999999993"/>
  </r>
  <r>
    <s v="ORD0109"/>
    <x v="109"/>
    <x v="4"/>
    <s v="Pune"/>
    <x v="3"/>
    <x v="6"/>
    <s v="CUST0195"/>
    <x v="0"/>
    <n v="4"/>
    <n v="1090"/>
    <n v="10"/>
    <n v="3924"/>
    <n v="2550.6"/>
    <n v="1373.4"/>
  </r>
  <r>
    <s v="ORD0113"/>
    <x v="109"/>
    <x v="1"/>
    <s v="Aurangabad"/>
    <x v="1"/>
    <x v="12"/>
    <s v="CUST0089"/>
    <x v="2"/>
    <n v="1"/>
    <n v="690"/>
    <n v="15"/>
    <n v="586.5"/>
    <n v="381.22500000000002"/>
    <n v="205.27499999999998"/>
  </r>
  <r>
    <s v="ORD0225"/>
    <x v="109"/>
    <x v="4"/>
    <s v="Pune"/>
    <x v="2"/>
    <x v="20"/>
    <s v="CUST0144"/>
    <x v="2"/>
    <n v="3"/>
    <n v="450"/>
    <n v="15"/>
    <n v="1147.5"/>
    <n v="745.875"/>
    <n v="401.625"/>
  </r>
  <r>
    <s v="ORD0226"/>
    <x v="109"/>
    <x v="0"/>
    <s v="Mumbai"/>
    <x v="2"/>
    <x v="7"/>
    <s v="CUST0198"/>
    <x v="2"/>
    <n v="1"/>
    <n v="320"/>
    <n v="15"/>
    <n v="272"/>
    <n v="176.8"/>
    <n v="95.199999999999989"/>
  </r>
  <r>
    <s v="ORD0233"/>
    <x v="110"/>
    <x v="0"/>
    <s v="Mumbai"/>
    <x v="3"/>
    <x v="27"/>
    <s v="CUST0028"/>
    <x v="2"/>
    <n v="1"/>
    <n v="350"/>
    <n v="15"/>
    <n v="297.5"/>
    <n v="193.375"/>
    <n v="104.125"/>
  </r>
  <r>
    <s v="ORD0312"/>
    <x v="111"/>
    <x v="0"/>
    <s v="Mumbai"/>
    <x v="0"/>
    <x v="2"/>
    <s v="CUST0044"/>
    <x v="2"/>
    <n v="2"/>
    <n v="250"/>
    <n v="15"/>
    <n v="425"/>
    <n v="276.25"/>
    <n v="148.75"/>
  </r>
  <r>
    <s v="ORD0184"/>
    <x v="112"/>
    <x v="4"/>
    <s v="Pune"/>
    <x v="3"/>
    <x v="21"/>
    <s v="CUST0081"/>
    <x v="2"/>
    <n v="2"/>
    <n v="860"/>
    <n v="20"/>
    <n v="1376"/>
    <n v="894.4"/>
    <n v="481.6"/>
  </r>
  <r>
    <s v="ORD0461"/>
    <x v="112"/>
    <x v="2"/>
    <s v="Nashik"/>
    <x v="1"/>
    <x v="13"/>
    <s v="CUST0180"/>
    <x v="2"/>
    <n v="2"/>
    <n v="880"/>
    <n v="20"/>
    <n v="1408"/>
    <n v="915.2"/>
    <n v="492.79999999999995"/>
  </r>
  <r>
    <s v="ORD0440"/>
    <x v="113"/>
    <x v="3"/>
    <s v="Nagpur"/>
    <x v="2"/>
    <x v="10"/>
    <s v="CUST0045"/>
    <x v="2"/>
    <n v="4"/>
    <n v="640"/>
    <n v="15"/>
    <n v="2176"/>
    <n v="1414.4"/>
    <n v="761.59999999999991"/>
  </r>
  <r>
    <s v="ORD0424"/>
    <x v="114"/>
    <x v="2"/>
    <s v="Nashik"/>
    <x v="3"/>
    <x v="14"/>
    <s v="CUST0052"/>
    <x v="0"/>
    <n v="5"/>
    <n v="1200"/>
    <n v="10"/>
    <n v="5400"/>
    <n v="3510"/>
    <n v="1890"/>
  </r>
  <r>
    <s v="ORD0430"/>
    <x v="114"/>
    <x v="3"/>
    <s v="Nagpur"/>
    <x v="2"/>
    <x v="20"/>
    <s v="CUST0176"/>
    <x v="2"/>
    <n v="1"/>
    <n v="440"/>
    <n v="15"/>
    <n v="374"/>
    <n v="243.1"/>
    <n v="130.9"/>
  </r>
  <r>
    <s v="ORD0149"/>
    <x v="115"/>
    <x v="4"/>
    <s v="Pune"/>
    <x v="1"/>
    <x v="16"/>
    <s v="CUST0031"/>
    <x v="1"/>
    <n v="3"/>
    <n v="570"/>
    <n v="0"/>
    <n v="1710"/>
    <n v="1111.5"/>
    <n v="598.5"/>
  </r>
  <r>
    <s v="ORD0238"/>
    <x v="115"/>
    <x v="1"/>
    <s v="Aurangabad"/>
    <x v="3"/>
    <x v="27"/>
    <s v="CUST0178"/>
    <x v="1"/>
    <n v="2"/>
    <n v="360"/>
    <n v="5"/>
    <n v="684"/>
    <n v="444.6"/>
    <n v="239.39999999999998"/>
  </r>
  <r>
    <s v="ORD0084"/>
    <x v="116"/>
    <x v="0"/>
    <s v="Mumbai"/>
    <x v="1"/>
    <x v="12"/>
    <s v="CUST0107"/>
    <x v="0"/>
    <n v="3"/>
    <n v="710"/>
    <n v="5"/>
    <n v="2023.5"/>
    <n v="1315.2750000000001"/>
    <n v="708.22499999999991"/>
  </r>
  <r>
    <s v="ORD0203"/>
    <x v="116"/>
    <x v="1"/>
    <s v="Aurangabad"/>
    <x v="3"/>
    <x v="14"/>
    <s v="CUST0149"/>
    <x v="1"/>
    <n v="2"/>
    <n v="1320"/>
    <n v="10"/>
    <n v="2376"/>
    <n v="1544.4"/>
    <n v="831.59999999999991"/>
  </r>
  <r>
    <s v="ORD0077"/>
    <x v="117"/>
    <x v="1"/>
    <s v="Aurangabad"/>
    <x v="0"/>
    <x v="0"/>
    <s v="CUST0089"/>
    <x v="0"/>
    <n v="3"/>
    <n v="300"/>
    <n v="10"/>
    <n v="810"/>
    <n v="526.5"/>
    <n v="283.5"/>
  </r>
  <r>
    <s v="ORD0090"/>
    <x v="118"/>
    <x v="1"/>
    <s v="Aurangabad"/>
    <x v="0"/>
    <x v="0"/>
    <s v="CUST0177"/>
    <x v="0"/>
    <n v="2"/>
    <n v="280"/>
    <n v="10"/>
    <n v="504"/>
    <n v="327.60000000000002"/>
    <n v="176.39999999999998"/>
  </r>
  <r>
    <s v="ORD0239"/>
    <x v="118"/>
    <x v="4"/>
    <s v="Pune"/>
    <x v="2"/>
    <x v="17"/>
    <s v="CUST0164"/>
    <x v="2"/>
    <n v="1"/>
    <n v="410"/>
    <n v="20"/>
    <n v="328"/>
    <n v="213.20000000000002"/>
    <n v="114.79999999999998"/>
  </r>
  <r>
    <s v="ORD0245"/>
    <x v="118"/>
    <x v="0"/>
    <s v="Mumbai"/>
    <x v="2"/>
    <x v="17"/>
    <s v="CUST0191"/>
    <x v="1"/>
    <n v="1"/>
    <n v="420"/>
    <n v="5"/>
    <n v="399"/>
    <n v="259.35000000000002"/>
    <n v="139.64999999999998"/>
  </r>
  <r>
    <s v="ORD0391"/>
    <x v="118"/>
    <x v="2"/>
    <s v="Nashik"/>
    <x v="2"/>
    <x v="9"/>
    <s v="CUST0068"/>
    <x v="1"/>
    <n v="2"/>
    <n v="970"/>
    <n v="0"/>
    <n v="1940"/>
    <n v="1261"/>
    <n v="679"/>
  </r>
  <r>
    <s v="ORD0199"/>
    <x v="119"/>
    <x v="2"/>
    <s v="Nashik"/>
    <x v="2"/>
    <x v="7"/>
    <s v="CUST0148"/>
    <x v="1"/>
    <n v="5"/>
    <n v="320"/>
    <n v="10"/>
    <n v="1440"/>
    <n v="936"/>
    <n v="504"/>
  </r>
  <r>
    <s v="ORD0046"/>
    <x v="120"/>
    <x v="2"/>
    <s v="Nashik"/>
    <x v="3"/>
    <x v="6"/>
    <s v="CUST0049"/>
    <x v="1"/>
    <n v="3"/>
    <n v="1080"/>
    <n v="0"/>
    <n v="3240"/>
    <n v="2106"/>
    <n v="1134"/>
  </r>
  <r>
    <s v="ORD0151"/>
    <x v="120"/>
    <x v="1"/>
    <s v="Aurangabad"/>
    <x v="2"/>
    <x v="7"/>
    <s v="CUST0107"/>
    <x v="1"/>
    <n v="2"/>
    <n v="310"/>
    <n v="5"/>
    <n v="589"/>
    <n v="382.85"/>
    <n v="206.14999999999998"/>
  </r>
  <r>
    <s v="ORD0210"/>
    <x v="120"/>
    <x v="4"/>
    <s v="Pune"/>
    <x v="1"/>
    <x v="11"/>
    <s v="CUST0120"/>
    <x v="0"/>
    <n v="1"/>
    <n v="1650"/>
    <n v="5"/>
    <n v="1567.5"/>
    <n v="1018.875"/>
    <n v="548.625"/>
  </r>
  <r>
    <s v="ORD0370"/>
    <x v="121"/>
    <x v="1"/>
    <s v="Aurangabad"/>
    <x v="1"/>
    <x v="24"/>
    <s v="CUST0200"/>
    <x v="1"/>
    <n v="3"/>
    <n v="540"/>
    <n v="5"/>
    <n v="1539"/>
    <n v="1000.35"/>
    <n v="538.65"/>
  </r>
  <r>
    <s v="ORD0231"/>
    <x v="122"/>
    <x v="3"/>
    <s v="Nagpur"/>
    <x v="3"/>
    <x v="5"/>
    <s v="CUST0060"/>
    <x v="0"/>
    <n v="3"/>
    <n v="3610"/>
    <n v="5"/>
    <n v="10288.5"/>
    <n v="6687.5250000000005"/>
    <n v="3600.9749999999995"/>
  </r>
  <r>
    <s v="ORD0254"/>
    <x v="122"/>
    <x v="4"/>
    <s v="Pune"/>
    <x v="0"/>
    <x v="15"/>
    <s v="CUST0134"/>
    <x v="1"/>
    <n v="1"/>
    <n v="140"/>
    <n v="0"/>
    <n v="140"/>
    <n v="91"/>
    <n v="49"/>
  </r>
  <r>
    <s v="ORD0262"/>
    <x v="122"/>
    <x v="3"/>
    <s v="Nagpur"/>
    <x v="2"/>
    <x v="9"/>
    <s v="CUST0092"/>
    <x v="0"/>
    <n v="1"/>
    <n v="910"/>
    <n v="10"/>
    <n v="819"/>
    <n v="532.35"/>
    <n v="286.64999999999998"/>
  </r>
  <r>
    <s v="ORD0460"/>
    <x v="122"/>
    <x v="1"/>
    <s v="Aurangabad"/>
    <x v="2"/>
    <x v="7"/>
    <s v="CUST0178"/>
    <x v="2"/>
    <n v="1"/>
    <n v="330"/>
    <n v="15"/>
    <n v="280.5"/>
    <n v="182.32500000000002"/>
    <n v="98.174999999999983"/>
  </r>
  <r>
    <s v="ORD0500"/>
    <x v="123"/>
    <x v="0"/>
    <s v="Mumbai"/>
    <x v="0"/>
    <x v="30"/>
    <s v="CUST0146"/>
    <x v="1"/>
    <n v="2"/>
    <n v="90"/>
    <n v="5"/>
    <n v="171"/>
    <n v="111.15"/>
    <n v="59.849999999999994"/>
  </r>
  <r>
    <s v="ORD0399"/>
    <x v="124"/>
    <x v="3"/>
    <s v="Nagpur"/>
    <x v="2"/>
    <x v="10"/>
    <s v="CUST0160"/>
    <x v="0"/>
    <n v="3"/>
    <n v="740"/>
    <n v="5"/>
    <n v="2109"/>
    <n v="1370.8500000000001"/>
    <n v="738.14999999999986"/>
  </r>
  <r>
    <s v="ORD0417"/>
    <x v="124"/>
    <x v="3"/>
    <s v="Nagpur"/>
    <x v="0"/>
    <x v="30"/>
    <s v="CUST0133"/>
    <x v="2"/>
    <n v="4"/>
    <n v="80"/>
    <n v="20"/>
    <n v="256"/>
    <n v="166.4"/>
    <n v="89.6"/>
  </r>
  <r>
    <s v="ORD0123"/>
    <x v="125"/>
    <x v="1"/>
    <s v="Aurangabad"/>
    <x v="1"/>
    <x v="12"/>
    <s v="CUST0119"/>
    <x v="2"/>
    <n v="1"/>
    <n v="720"/>
    <n v="15"/>
    <n v="612"/>
    <n v="397.8"/>
    <n v="214.2"/>
  </r>
  <r>
    <s v="ORD0044"/>
    <x v="126"/>
    <x v="3"/>
    <s v="Nagpur"/>
    <x v="3"/>
    <x v="27"/>
    <s v="CUST0131"/>
    <x v="0"/>
    <n v="5"/>
    <n v="340"/>
    <n v="15"/>
    <n v="1445"/>
    <n v="939.25"/>
    <n v="505.75"/>
  </r>
  <r>
    <s v="ORD0095"/>
    <x v="126"/>
    <x v="2"/>
    <s v="Nashik"/>
    <x v="2"/>
    <x v="17"/>
    <s v="CUST0103"/>
    <x v="2"/>
    <n v="2"/>
    <n v="410"/>
    <n v="15"/>
    <n v="697"/>
    <n v="453.05"/>
    <n v="243.95"/>
  </r>
  <r>
    <s v="ORD0045"/>
    <x v="127"/>
    <x v="0"/>
    <s v="Mumbai"/>
    <x v="3"/>
    <x v="27"/>
    <s v="CUST0068"/>
    <x v="1"/>
    <n v="2"/>
    <n v="330"/>
    <n v="5"/>
    <n v="627"/>
    <n v="407.55"/>
    <n v="219.45"/>
  </r>
  <r>
    <s v="ORD0059"/>
    <x v="127"/>
    <x v="1"/>
    <s v="Aurangabad"/>
    <x v="2"/>
    <x v="7"/>
    <s v="CUST0108"/>
    <x v="0"/>
    <n v="3"/>
    <n v="270"/>
    <n v="15"/>
    <n v="688.5"/>
    <n v="447.52500000000003"/>
    <n v="240.97499999999997"/>
  </r>
  <r>
    <s v="ORD0489"/>
    <x v="127"/>
    <x v="3"/>
    <s v="Nagpur"/>
    <x v="1"/>
    <x v="4"/>
    <s v="CUST0159"/>
    <x v="1"/>
    <n v="1"/>
    <n v="1100"/>
    <n v="5"/>
    <n v="1045"/>
    <n v="679.25"/>
    <n v="365.75"/>
  </r>
  <r>
    <s v="ORD0042"/>
    <x v="128"/>
    <x v="2"/>
    <s v="Nashik"/>
    <x v="1"/>
    <x v="16"/>
    <s v="CUST0180"/>
    <x v="1"/>
    <n v="4"/>
    <n v="560"/>
    <n v="5"/>
    <n v="2128"/>
    <n v="1383.2"/>
    <n v="744.8"/>
  </r>
  <r>
    <s v="ORD0175"/>
    <x v="129"/>
    <x v="4"/>
    <s v="Pune"/>
    <x v="1"/>
    <x v="24"/>
    <s v="CUST0121"/>
    <x v="0"/>
    <n v="1"/>
    <n v="480"/>
    <n v="15"/>
    <n v="408"/>
    <n v="265.2"/>
    <n v="142.80000000000001"/>
  </r>
  <r>
    <s v="ORD0120"/>
    <x v="130"/>
    <x v="0"/>
    <s v="Mumbai"/>
    <x v="2"/>
    <x v="26"/>
    <s v="CUST0058"/>
    <x v="2"/>
    <n v="3"/>
    <n v="460"/>
    <n v="15"/>
    <n v="1173"/>
    <n v="762.45"/>
    <n v="410.54999999999995"/>
  </r>
  <r>
    <s v="ORD0457"/>
    <x v="130"/>
    <x v="0"/>
    <s v="Mumbai"/>
    <x v="2"/>
    <x v="10"/>
    <s v="CUST0173"/>
    <x v="0"/>
    <n v="3"/>
    <n v="760"/>
    <n v="10"/>
    <n v="2052"/>
    <n v="1333.8"/>
    <n v="718.2"/>
  </r>
  <r>
    <s v="ORD0166"/>
    <x v="131"/>
    <x v="2"/>
    <s v="Nashik"/>
    <x v="1"/>
    <x v="4"/>
    <s v="CUST0040"/>
    <x v="1"/>
    <n v="3"/>
    <n v="1320"/>
    <n v="0"/>
    <n v="3960"/>
    <n v="2574"/>
    <n v="1386"/>
  </r>
  <r>
    <s v="ORD0160"/>
    <x v="132"/>
    <x v="0"/>
    <s v="Mumbai"/>
    <x v="1"/>
    <x v="24"/>
    <s v="CUST0113"/>
    <x v="2"/>
    <n v="2"/>
    <n v="470"/>
    <n v="20"/>
    <n v="752"/>
    <n v="488.8"/>
    <n v="263.2"/>
  </r>
  <r>
    <s v="ORD0443"/>
    <x v="132"/>
    <x v="4"/>
    <s v="Pune"/>
    <x v="3"/>
    <x v="6"/>
    <s v="CUST0117"/>
    <x v="1"/>
    <n v="1"/>
    <n v="980"/>
    <n v="5"/>
    <n v="931"/>
    <n v="605.15"/>
    <n v="325.85000000000002"/>
  </r>
  <r>
    <s v="ORD0182"/>
    <x v="133"/>
    <x v="4"/>
    <s v="Pune"/>
    <x v="3"/>
    <x v="29"/>
    <s v="CUST0091"/>
    <x v="0"/>
    <n v="3"/>
    <n v="600"/>
    <n v="5"/>
    <n v="1710"/>
    <n v="1111.5"/>
    <n v="598.5"/>
  </r>
  <r>
    <s v="ORD0246"/>
    <x v="133"/>
    <x v="0"/>
    <s v="Mumbai"/>
    <x v="3"/>
    <x v="5"/>
    <s v="CUST0121"/>
    <x v="1"/>
    <n v="2"/>
    <n v="3840"/>
    <n v="0"/>
    <n v="7680"/>
    <n v="4992"/>
    <n v="2688"/>
  </r>
  <r>
    <s v="ORD0299"/>
    <x v="133"/>
    <x v="0"/>
    <s v="Mumbai"/>
    <x v="2"/>
    <x v="26"/>
    <s v="CUST0022"/>
    <x v="1"/>
    <n v="4"/>
    <n v="480"/>
    <n v="0"/>
    <n v="1920"/>
    <n v="1248"/>
    <n v="672"/>
  </r>
  <r>
    <s v="ORD0401"/>
    <x v="133"/>
    <x v="2"/>
    <s v="Nashik"/>
    <x v="0"/>
    <x v="28"/>
    <s v="CUST0147"/>
    <x v="0"/>
    <n v="1"/>
    <n v="100"/>
    <n v="10"/>
    <n v="90"/>
    <n v="58.5"/>
    <n v="31.5"/>
  </r>
  <r>
    <s v="ORD0429"/>
    <x v="133"/>
    <x v="3"/>
    <s v="Nagpur"/>
    <x v="1"/>
    <x v="12"/>
    <s v="CUST0151"/>
    <x v="0"/>
    <n v="1"/>
    <n v="680"/>
    <n v="5"/>
    <n v="646"/>
    <n v="419.90000000000003"/>
    <n v="226.09999999999997"/>
  </r>
  <r>
    <s v="ORD0300"/>
    <x v="134"/>
    <x v="3"/>
    <s v="Nagpur"/>
    <x v="0"/>
    <x v="0"/>
    <s v="CUST0134"/>
    <x v="0"/>
    <n v="2"/>
    <n v="320"/>
    <n v="10"/>
    <n v="576"/>
    <n v="374.40000000000003"/>
    <n v="201.59999999999997"/>
  </r>
  <r>
    <s v="ORD0144"/>
    <x v="135"/>
    <x v="0"/>
    <s v="Mumbai"/>
    <x v="1"/>
    <x v="13"/>
    <s v="CUST0103"/>
    <x v="1"/>
    <n v="3"/>
    <n v="910"/>
    <n v="0"/>
    <n v="2730"/>
    <n v="1774.5"/>
    <n v="955.5"/>
  </r>
  <r>
    <s v="ORD0317"/>
    <x v="135"/>
    <x v="1"/>
    <s v="Aurangabad"/>
    <x v="0"/>
    <x v="15"/>
    <s v="CUST0181"/>
    <x v="1"/>
    <n v="2"/>
    <n v="120"/>
    <n v="10"/>
    <n v="216"/>
    <n v="140.4"/>
    <n v="75.599999999999994"/>
  </r>
  <r>
    <s v="ORD0078"/>
    <x v="136"/>
    <x v="2"/>
    <s v="Nashik"/>
    <x v="0"/>
    <x v="30"/>
    <s v="CUST0031"/>
    <x v="0"/>
    <n v="1"/>
    <n v="80"/>
    <n v="15"/>
    <n v="68"/>
    <n v="44.2"/>
    <n v="23.799999999999997"/>
  </r>
  <r>
    <s v="ORD0005"/>
    <x v="137"/>
    <x v="3"/>
    <s v="Nagpur"/>
    <x v="0"/>
    <x v="31"/>
    <s v="CUST0138"/>
    <x v="1"/>
    <n v="4"/>
    <n v="370"/>
    <n v="0"/>
    <n v="1480"/>
    <n v="962"/>
    <n v="518"/>
  </r>
  <r>
    <s v="ORD0310"/>
    <x v="137"/>
    <x v="0"/>
    <s v="Mumbai"/>
    <x v="2"/>
    <x v="3"/>
    <s v="CUST0099"/>
    <x v="2"/>
    <n v="2"/>
    <n v="230"/>
    <n v="15"/>
    <n v="391"/>
    <n v="254.15"/>
    <n v="136.85"/>
  </r>
  <r>
    <s v="ORD0369"/>
    <x v="137"/>
    <x v="2"/>
    <s v="Nashik"/>
    <x v="2"/>
    <x v="20"/>
    <s v="CUST0129"/>
    <x v="0"/>
    <n v="1"/>
    <n v="490"/>
    <n v="5"/>
    <n v="465.5"/>
    <n v="302.57499999999999"/>
    <n v="162.92500000000001"/>
  </r>
  <r>
    <s v="ORD0431"/>
    <x v="137"/>
    <x v="4"/>
    <s v="Pune"/>
    <x v="1"/>
    <x v="1"/>
    <s v="CUST0058"/>
    <x v="0"/>
    <n v="1"/>
    <n v="680"/>
    <n v="15"/>
    <n v="578"/>
    <n v="375.7"/>
    <n v="202.3"/>
  </r>
  <r>
    <s v="ORD0345"/>
    <x v="138"/>
    <x v="0"/>
    <s v="Mumbai"/>
    <x v="2"/>
    <x v="3"/>
    <s v="CUST0066"/>
    <x v="2"/>
    <n v="4"/>
    <n v="240"/>
    <n v="20"/>
    <n v="768"/>
    <n v="499.20000000000005"/>
    <n v="268.79999999999995"/>
  </r>
  <r>
    <s v="ORD0158"/>
    <x v="139"/>
    <x v="3"/>
    <s v="Nagpur"/>
    <x v="3"/>
    <x v="5"/>
    <s v="CUST0130"/>
    <x v="0"/>
    <n v="2"/>
    <n v="3580"/>
    <n v="15"/>
    <n v="6086"/>
    <n v="3955.9"/>
    <n v="2130.1"/>
  </r>
  <r>
    <s v="ORD0170"/>
    <x v="139"/>
    <x v="1"/>
    <s v="Aurangabad"/>
    <x v="2"/>
    <x v="9"/>
    <s v="CUST0200"/>
    <x v="0"/>
    <n v="2"/>
    <n v="950"/>
    <n v="5"/>
    <n v="1805"/>
    <n v="1173.25"/>
    <n v="631.75"/>
  </r>
  <r>
    <s v="ORD0350"/>
    <x v="139"/>
    <x v="4"/>
    <s v="Pune"/>
    <x v="0"/>
    <x v="30"/>
    <s v="CUST0063"/>
    <x v="0"/>
    <n v="2"/>
    <n v="90"/>
    <n v="10"/>
    <n v="162"/>
    <n v="105.3"/>
    <n v="56.7"/>
  </r>
  <r>
    <s v="ORD0392"/>
    <x v="140"/>
    <x v="2"/>
    <s v="Nashik"/>
    <x v="0"/>
    <x v="15"/>
    <s v="CUST0068"/>
    <x v="0"/>
    <n v="1"/>
    <n v="130"/>
    <n v="10"/>
    <n v="117"/>
    <n v="76.05"/>
    <n v="40.950000000000003"/>
  </r>
  <r>
    <s v="ORD0428"/>
    <x v="141"/>
    <x v="0"/>
    <s v="Mumbai"/>
    <x v="0"/>
    <x v="2"/>
    <s v="CUST0002"/>
    <x v="0"/>
    <n v="1"/>
    <n v="220"/>
    <n v="15"/>
    <n v="187"/>
    <n v="121.55"/>
    <n v="65.45"/>
  </r>
  <r>
    <s v="ORD0477"/>
    <x v="141"/>
    <x v="1"/>
    <s v="Aurangabad"/>
    <x v="2"/>
    <x v="9"/>
    <s v="CUST0167"/>
    <x v="1"/>
    <n v="2"/>
    <n v="820"/>
    <n v="0"/>
    <n v="1640"/>
    <n v="1066"/>
    <n v="574"/>
  </r>
  <r>
    <s v="ORD0386"/>
    <x v="142"/>
    <x v="4"/>
    <s v="Pune"/>
    <x v="3"/>
    <x v="5"/>
    <s v="CUST0158"/>
    <x v="2"/>
    <n v="3"/>
    <n v="3390"/>
    <n v="15"/>
    <n v="8644.5"/>
    <n v="5618.9250000000002"/>
    <n v="3025.5749999999998"/>
  </r>
  <r>
    <s v="ORD0384"/>
    <x v="143"/>
    <x v="3"/>
    <s v="Nagpur"/>
    <x v="2"/>
    <x v="26"/>
    <s v="CUST0148"/>
    <x v="0"/>
    <n v="2"/>
    <n v="530"/>
    <n v="5"/>
    <n v="1007"/>
    <n v="654.55000000000007"/>
    <n v="352.44999999999993"/>
  </r>
  <r>
    <s v="ORD0289"/>
    <x v="144"/>
    <x v="3"/>
    <s v="Nagpur"/>
    <x v="2"/>
    <x v="20"/>
    <s v="CUST0167"/>
    <x v="2"/>
    <n v="1"/>
    <n v="440"/>
    <n v="15"/>
    <n v="374"/>
    <n v="243.1"/>
    <n v="130.9"/>
  </r>
  <r>
    <s v="ORD0256"/>
    <x v="145"/>
    <x v="1"/>
    <s v="Aurangabad"/>
    <x v="0"/>
    <x v="28"/>
    <s v="CUST0077"/>
    <x v="0"/>
    <n v="3"/>
    <n v="100"/>
    <n v="10"/>
    <n v="270"/>
    <n v="175.5"/>
    <n v="94.5"/>
  </r>
  <r>
    <s v="ORD0332"/>
    <x v="146"/>
    <x v="3"/>
    <s v="Nagpur"/>
    <x v="2"/>
    <x v="20"/>
    <s v="CUST0064"/>
    <x v="1"/>
    <n v="1"/>
    <n v="480"/>
    <n v="10"/>
    <n v="432"/>
    <n v="280.8"/>
    <n v="151.19999999999999"/>
  </r>
  <r>
    <s v="ORD0214"/>
    <x v="147"/>
    <x v="1"/>
    <s v="Aurangabad"/>
    <x v="2"/>
    <x v="17"/>
    <s v="CUST0160"/>
    <x v="0"/>
    <n v="1"/>
    <n v="420"/>
    <n v="5"/>
    <n v="399"/>
    <n v="259.35000000000002"/>
    <n v="139.64999999999998"/>
  </r>
  <r>
    <s v="ORD0468"/>
    <x v="148"/>
    <x v="2"/>
    <s v="Nashik"/>
    <x v="0"/>
    <x v="31"/>
    <s v="CUST0065"/>
    <x v="1"/>
    <n v="4"/>
    <n v="320"/>
    <n v="5"/>
    <n v="1216"/>
    <n v="790.4"/>
    <n v="425.6"/>
  </r>
  <r>
    <s v="ORD0496"/>
    <x v="149"/>
    <x v="4"/>
    <s v="Pune"/>
    <x v="0"/>
    <x v="15"/>
    <s v="CUST0131"/>
    <x v="1"/>
    <n v="1"/>
    <n v="130"/>
    <n v="0"/>
    <n v="130"/>
    <n v="84.5"/>
    <n v="45.5"/>
  </r>
  <r>
    <s v="ORD0215"/>
    <x v="150"/>
    <x v="3"/>
    <s v="Nagpur"/>
    <x v="0"/>
    <x v="18"/>
    <s v="CUST0051"/>
    <x v="0"/>
    <n v="2"/>
    <n v="210"/>
    <n v="5"/>
    <n v="399"/>
    <n v="259.35000000000002"/>
    <n v="139.64999999999998"/>
  </r>
  <r>
    <s v="ORD0361"/>
    <x v="151"/>
    <x v="1"/>
    <s v="Aurangabad"/>
    <x v="3"/>
    <x v="27"/>
    <s v="CUST0045"/>
    <x v="1"/>
    <n v="2"/>
    <n v="330"/>
    <n v="5"/>
    <n v="627"/>
    <n v="407.55"/>
    <n v="219.45"/>
  </r>
  <r>
    <s v="ORD0069"/>
    <x v="152"/>
    <x v="4"/>
    <s v="Pune"/>
    <x v="3"/>
    <x v="21"/>
    <s v="CUST0198"/>
    <x v="0"/>
    <n v="2"/>
    <n v="740"/>
    <n v="5"/>
    <n v="1406"/>
    <n v="913.9"/>
    <n v="492.1"/>
  </r>
  <r>
    <s v="ORD0280"/>
    <x v="152"/>
    <x v="3"/>
    <s v="Nagpur"/>
    <x v="3"/>
    <x v="27"/>
    <s v="CUST0116"/>
    <x v="0"/>
    <n v="1"/>
    <n v="370"/>
    <n v="10"/>
    <n v="333"/>
    <n v="216.45000000000002"/>
    <n v="116.54999999999998"/>
  </r>
  <r>
    <s v="ORD0415"/>
    <x v="152"/>
    <x v="1"/>
    <s v="Aurangabad"/>
    <x v="3"/>
    <x v="23"/>
    <s v="CUST0170"/>
    <x v="2"/>
    <n v="3"/>
    <n v="1900"/>
    <n v="20"/>
    <n v="4560"/>
    <n v="2964"/>
    <n v="1596"/>
  </r>
  <r>
    <s v="ORD0027"/>
    <x v="153"/>
    <x v="0"/>
    <s v="Mumbai"/>
    <x v="1"/>
    <x v="1"/>
    <s v="CUST0100"/>
    <x v="1"/>
    <n v="3"/>
    <n v="670"/>
    <n v="5"/>
    <n v="1909.5"/>
    <n v="1241.175"/>
    <n v="668.32500000000005"/>
  </r>
  <r>
    <s v="ORD0349"/>
    <x v="153"/>
    <x v="0"/>
    <s v="Mumbai"/>
    <x v="2"/>
    <x v="17"/>
    <s v="CUST0080"/>
    <x v="0"/>
    <n v="2"/>
    <n v="420"/>
    <n v="5"/>
    <n v="798"/>
    <n v="518.70000000000005"/>
    <n v="279.29999999999995"/>
  </r>
  <r>
    <s v="ORD0213"/>
    <x v="154"/>
    <x v="3"/>
    <s v="Nagpur"/>
    <x v="3"/>
    <x v="6"/>
    <s v="CUST0144"/>
    <x v="1"/>
    <n v="2"/>
    <n v="910"/>
    <n v="0"/>
    <n v="1820"/>
    <n v="1183"/>
    <n v="637"/>
  </r>
  <r>
    <s v="ORD0402"/>
    <x v="154"/>
    <x v="4"/>
    <s v="Pune"/>
    <x v="2"/>
    <x v="10"/>
    <s v="CUST0085"/>
    <x v="0"/>
    <n v="1"/>
    <n v="680"/>
    <n v="10"/>
    <n v="612"/>
    <n v="397.8"/>
    <n v="214.2"/>
  </r>
  <r>
    <s v="ORD0418"/>
    <x v="154"/>
    <x v="3"/>
    <s v="Nagpur"/>
    <x v="1"/>
    <x v="24"/>
    <s v="CUST0076"/>
    <x v="1"/>
    <n v="2"/>
    <n v="510"/>
    <n v="5"/>
    <n v="969"/>
    <n v="629.85"/>
    <n v="339.15"/>
  </r>
  <r>
    <s v="ORD0303"/>
    <x v="155"/>
    <x v="4"/>
    <s v="Pune"/>
    <x v="1"/>
    <x v="1"/>
    <s v="CUST0189"/>
    <x v="0"/>
    <n v="1"/>
    <n v="730"/>
    <n v="15"/>
    <n v="620.5"/>
    <n v="403.32499999999999"/>
    <n v="217.17500000000001"/>
  </r>
  <r>
    <s v="ORD0284"/>
    <x v="156"/>
    <x v="0"/>
    <s v="Mumbai"/>
    <x v="3"/>
    <x v="5"/>
    <s v="CUST0024"/>
    <x v="0"/>
    <n v="3"/>
    <n v="3400"/>
    <n v="10"/>
    <n v="9180"/>
    <n v="5967"/>
    <n v="3213"/>
  </r>
  <r>
    <s v="ORD0481"/>
    <x v="156"/>
    <x v="2"/>
    <s v="Nashik"/>
    <x v="2"/>
    <x v="7"/>
    <s v="CUST0005"/>
    <x v="0"/>
    <n v="1"/>
    <n v="290"/>
    <n v="5"/>
    <n v="275.5"/>
    <n v="179.07500000000002"/>
    <n v="96.424999999999983"/>
  </r>
  <r>
    <s v="ORD0311"/>
    <x v="157"/>
    <x v="2"/>
    <s v="Nashik"/>
    <x v="2"/>
    <x v="9"/>
    <s v="CUST0022"/>
    <x v="0"/>
    <n v="3"/>
    <n v="900"/>
    <n v="5"/>
    <n v="2565"/>
    <n v="1667.25"/>
    <n v="897.75"/>
  </r>
  <r>
    <s v="ORD0456"/>
    <x v="157"/>
    <x v="0"/>
    <s v="Mumbai"/>
    <x v="0"/>
    <x v="2"/>
    <s v="CUST0101"/>
    <x v="1"/>
    <n v="3"/>
    <n v="230"/>
    <n v="0"/>
    <n v="690"/>
    <n v="448.5"/>
    <n v="241.5"/>
  </r>
  <r>
    <s v="ORD0452"/>
    <x v="158"/>
    <x v="0"/>
    <s v="Mumbai"/>
    <x v="3"/>
    <x v="5"/>
    <s v="CUST0159"/>
    <x v="0"/>
    <n v="4"/>
    <n v="3700"/>
    <n v="15"/>
    <n v="12580"/>
    <n v="8177"/>
    <n v="4403"/>
  </r>
  <r>
    <s v="ORD0138"/>
    <x v="159"/>
    <x v="0"/>
    <s v="Mumbai"/>
    <x v="0"/>
    <x v="28"/>
    <s v="CUST0066"/>
    <x v="0"/>
    <n v="1"/>
    <n v="100"/>
    <n v="10"/>
    <n v="90"/>
    <n v="58.5"/>
    <n v="31.5"/>
  </r>
  <r>
    <s v="ORD0338"/>
    <x v="159"/>
    <x v="2"/>
    <s v="Nashik"/>
    <x v="2"/>
    <x v="26"/>
    <s v="CUST0138"/>
    <x v="0"/>
    <n v="1"/>
    <n v="510"/>
    <n v="10"/>
    <n v="459"/>
    <n v="298.35000000000002"/>
    <n v="160.64999999999998"/>
  </r>
  <r>
    <s v="ORD0400"/>
    <x v="159"/>
    <x v="4"/>
    <s v="Pune"/>
    <x v="1"/>
    <x v="12"/>
    <s v="CUST0145"/>
    <x v="2"/>
    <n v="3"/>
    <n v="760"/>
    <n v="20"/>
    <n v="1824"/>
    <n v="1185.6000000000001"/>
    <n v="638.39999999999986"/>
  </r>
  <r>
    <s v="ORD0405"/>
    <x v="160"/>
    <x v="1"/>
    <s v="Aurangabad"/>
    <x v="3"/>
    <x v="21"/>
    <s v="CUST0105"/>
    <x v="0"/>
    <n v="3"/>
    <n v="790"/>
    <n v="10"/>
    <n v="2133"/>
    <n v="1386.45"/>
    <n v="746.55"/>
  </r>
  <r>
    <s v="ORD0434"/>
    <x v="160"/>
    <x v="2"/>
    <s v="Nashik"/>
    <x v="2"/>
    <x v="26"/>
    <s v="CUST0122"/>
    <x v="0"/>
    <n v="1"/>
    <n v="500"/>
    <n v="15"/>
    <n v="425"/>
    <n v="276.25"/>
    <n v="148.75"/>
  </r>
  <r>
    <s v="ORD0445"/>
    <x v="160"/>
    <x v="1"/>
    <s v="Aurangabad"/>
    <x v="2"/>
    <x v="9"/>
    <s v="CUST0098"/>
    <x v="2"/>
    <n v="2"/>
    <n v="840"/>
    <n v="20"/>
    <n v="1344"/>
    <n v="873.6"/>
    <n v="470.4"/>
  </r>
  <r>
    <s v="ORD0251"/>
    <x v="161"/>
    <x v="1"/>
    <s v="Aurangabad"/>
    <x v="3"/>
    <x v="21"/>
    <s v="CUST0026"/>
    <x v="0"/>
    <n v="2"/>
    <n v="750"/>
    <n v="15"/>
    <n v="1275"/>
    <n v="828.75"/>
    <n v="446.25"/>
  </r>
  <r>
    <s v="ORD0295"/>
    <x v="161"/>
    <x v="1"/>
    <s v="Aurangabad"/>
    <x v="3"/>
    <x v="29"/>
    <s v="CUST0138"/>
    <x v="0"/>
    <n v="4"/>
    <n v="680"/>
    <n v="5"/>
    <n v="2584"/>
    <n v="1679.6000000000001"/>
    <n v="904.39999999999986"/>
  </r>
  <r>
    <s v="ORD0336"/>
    <x v="162"/>
    <x v="3"/>
    <s v="Nagpur"/>
    <x v="1"/>
    <x v="11"/>
    <s v="CUST0198"/>
    <x v="1"/>
    <n v="2"/>
    <n v="1640"/>
    <n v="0"/>
    <n v="3280"/>
    <n v="2132"/>
    <n v="1148"/>
  </r>
  <r>
    <s v="ORD0422"/>
    <x v="162"/>
    <x v="3"/>
    <s v="Nagpur"/>
    <x v="0"/>
    <x v="30"/>
    <s v="CUST0119"/>
    <x v="2"/>
    <n v="2"/>
    <n v="90"/>
    <n v="20"/>
    <n v="144"/>
    <n v="93.600000000000009"/>
    <n v="50.399999999999991"/>
  </r>
  <r>
    <s v="ORD0444"/>
    <x v="162"/>
    <x v="4"/>
    <s v="Pune"/>
    <x v="3"/>
    <x v="14"/>
    <s v="CUST0016"/>
    <x v="2"/>
    <n v="3"/>
    <n v="1350"/>
    <n v="10"/>
    <n v="3645"/>
    <n v="2369.25"/>
    <n v="1275.75"/>
  </r>
  <r>
    <s v="ORD0013"/>
    <x v="163"/>
    <x v="1"/>
    <s v="Aurangabad"/>
    <x v="3"/>
    <x v="6"/>
    <s v="CUST0120"/>
    <x v="0"/>
    <n v="5"/>
    <n v="980"/>
    <n v="5"/>
    <n v="4655"/>
    <n v="3025.75"/>
    <n v="1629.25"/>
  </r>
  <r>
    <s v="ORD0294"/>
    <x v="163"/>
    <x v="2"/>
    <s v="Nashik"/>
    <x v="3"/>
    <x v="25"/>
    <s v="CUST0123"/>
    <x v="0"/>
    <n v="2"/>
    <n v="1650"/>
    <n v="15"/>
    <n v="2805"/>
    <n v="1823.25"/>
    <n v="981.75"/>
  </r>
  <r>
    <s v="ORD0414"/>
    <x v="163"/>
    <x v="2"/>
    <s v="Nashik"/>
    <x v="0"/>
    <x v="0"/>
    <s v="CUST0120"/>
    <x v="0"/>
    <n v="2"/>
    <n v="280"/>
    <n v="15"/>
    <n v="476"/>
    <n v="309.40000000000003"/>
    <n v="166.59999999999997"/>
  </r>
  <r>
    <s v="ORD0054"/>
    <x v="164"/>
    <x v="4"/>
    <s v="Pune"/>
    <x v="1"/>
    <x v="11"/>
    <s v="CUST0064"/>
    <x v="2"/>
    <n v="1"/>
    <n v="1360"/>
    <n v="10"/>
    <n v="1224"/>
    <n v="795.6"/>
    <n v="428.4"/>
  </r>
  <r>
    <s v="ORD0135"/>
    <x v="165"/>
    <x v="0"/>
    <s v="Mumbai"/>
    <x v="2"/>
    <x v="9"/>
    <s v="CUST0021"/>
    <x v="0"/>
    <n v="1"/>
    <n v="820"/>
    <n v="5"/>
    <n v="779"/>
    <n v="506.35"/>
    <n v="272.64999999999998"/>
  </r>
  <r>
    <s v="ORD0189"/>
    <x v="165"/>
    <x v="4"/>
    <s v="Pune"/>
    <x v="2"/>
    <x v="20"/>
    <s v="CUST0187"/>
    <x v="2"/>
    <n v="1"/>
    <n v="440"/>
    <n v="15"/>
    <n v="374"/>
    <n v="243.1"/>
    <n v="130.9"/>
  </r>
  <r>
    <s v="ORD0304"/>
    <x v="166"/>
    <x v="2"/>
    <s v="Nashik"/>
    <x v="3"/>
    <x v="21"/>
    <s v="CUST0193"/>
    <x v="0"/>
    <n v="3"/>
    <n v="750"/>
    <n v="15"/>
    <n v="1912.5"/>
    <n v="1243.125"/>
    <n v="669.375"/>
  </r>
  <r>
    <s v="ORD0297"/>
    <x v="167"/>
    <x v="0"/>
    <s v="Mumbai"/>
    <x v="3"/>
    <x v="5"/>
    <s v="CUST0131"/>
    <x v="0"/>
    <n v="2"/>
    <n v="3330"/>
    <n v="15"/>
    <n v="5661"/>
    <n v="3679.65"/>
    <n v="1981.35"/>
  </r>
  <r>
    <s v="ORD0201"/>
    <x v="168"/>
    <x v="1"/>
    <s v="Aurangabad"/>
    <x v="3"/>
    <x v="5"/>
    <s v="CUST0078"/>
    <x v="1"/>
    <n v="1"/>
    <n v="3510"/>
    <n v="10"/>
    <n v="3159"/>
    <n v="2053.35"/>
    <n v="1105.6500000000001"/>
  </r>
  <r>
    <s v="ORD0281"/>
    <x v="168"/>
    <x v="4"/>
    <s v="Pune"/>
    <x v="2"/>
    <x v="26"/>
    <s v="CUST0076"/>
    <x v="2"/>
    <n v="3"/>
    <n v="530"/>
    <n v="10"/>
    <n v="1431"/>
    <n v="930.15"/>
    <n v="500.85"/>
  </r>
  <r>
    <s v="ORD0094"/>
    <x v="169"/>
    <x v="2"/>
    <s v="Nashik"/>
    <x v="3"/>
    <x v="25"/>
    <s v="CUST0086"/>
    <x v="0"/>
    <n v="1"/>
    <n v="1450"/>
    <n v="5"/>
    <n v="1377.5"/>
    <n v="895.375"/>
    <n v="482.125"/>
  </r>
  <r>
    <s v="ORD0173"/>
    <x v="169"/>
    <x v="0"/>
    <s v="Mumbai"/>
    <x v="1"/>
    <x v="11"/>
    <s v="CUST0007"/>
    <x v="0"/>
    <n v="1"/>
    <n v="1610"/>
    <n v="10"/>
    <n v="1449"/>
    <n v="941.85"/>
    <n v="507.15"/>
  </r>
  <r>
    <s v="ORD0314"/>
    <x v="170"/>
    <x v="1"/>
    <s v="Aurangabad"/>
    <x v="1"/>
    <x v="1"/>
    <s v="CUST0168"/>
    <x v="2"/>
    <n v="1"/>
    <n v="690"/>
    <n v="10"/>
    <n v="621"/>
    <n v="403.65000000000003"/>
    <n v="217.34999999999997"/>
  </r>
  <r>
    <s v="ORD0098"/>
    <x v="171"/>
    <x v="0"/>
    <s v="Mumbai"/>
    <x v="1"/>
    <x v="16"/>
    <s v="CUST0074"/>
    <x v="0"/>
    <n v="2"/>
    <n v="600"/>
    <n v="5"/>
    <n v="1140"/>
    <n v="741"/>
    <n v="399"/>
  </r>
  <r>
    <s v="ORD0147"/>
    <x v="171"/>
    <x v="2"/>
    <s v="Nashik"/>
    <x v="2"/>
    <x v="9"/>
    <s v="CUST0056"/>
    <x v="2"/>
    <n v="1"/>
    <n v="880"/>
    <n v="15"/>
    <n v="748"/>
    <n v="486.2"/>
    <n v="261.8"/>
  </r>
  <r>
    <s v="ORD0157"/>
    <x v="171"/>
    <x v="3"/>
    <s v="Nagpur"/>
    <x v="0"/>
    <x v="31"/>
    <s v="CUST0019"/>
    <x v="0"/>
    <n v="2"/>
    <n v="340"/>
    <n v="5"/>
    <n v="646"/>
    <n v="419.90000000000003"/>
    <n v="226.09999999999997"/>
  </r>
  <r>
    <s v="ORD0127"/>
    <x v="172"/>
    <x v="4"/>
    <s v="Pune"/>
    <x v="0"/>
    <x v="22"/>
    <s v="CUST0095"/>
    <x v="0"/>
    <n v="5"/>
    <n v="160"/>
    <n v="10"/>
    <n v="720"/>
    <n v="468"/>
    <n v="252"/>
  </r>
  <r>
    <s v="ORD0283"/>
    <x v="172"/>
    <x v="3"/>
    <s v="Nagpur"/>
    <x v="0"/>
    <x v="22"/>
    <s v="CUST0048"/>
    <x v="0"/>
    <n v="2"/>
    <n v="140"/>
    <n v="15"/>
    <n v="238"/>
    <n v="154.70000000000002"/>
    <n v="83.299999999999983"/>
  </r>
  <r>
    <s v="ORD0056"/>
    <x v="173"/>
    <x v="4"/>
    <s v="Pune"/>
    <x v="2"/>
    <x v="9"/>
    <s v="CUST0064"/>
    <x v="2"/>
    <n v="1"/>
    <n v="860"/>
    <n v="20"/>
    <n v="688"/>
    <n v="447.2"/>
    <n v="240.8"/>
  </r>
  <r>
    <s v="ORD0244"/>
    <x v="173"/>
    <x v="0"/>
    <s v="Mumbai"/>
    <x v="2"/>
    <x v="3"/>
    <s v="CUST0117"/>
    <x v="0"/>
    <n v="2"/>
    <n v="250"/>
    <n v="15"/>
    <n v="425"/>
    <n v="276.25"/>
    <n v="148.75"/>
  </r>
  <r>
    <s v="ORD0451"/>
    <x v="174"/>
    <x v="0"/>
    <s v="Mumbai"/>
    <x v="2"/>
    <x v="9"/>
    <s v="CUST0128"/>
    <x v="0"/>
    <n v="1"/>
    <n v="870"/>
    <n v="10"/>
    <n v="783"/>
    <n v="508.95000000000005"/>
    <n v="274.04999999999995"/>
  </r>
  <r>
    <s v="ORD0315"/>
    <x v="175"/>
    <x v="3"/>
    <s v="Nagpur"/>
    <x v="0"/>
    <x v="22"/>
    <s v="CUST0031"/>
    <x v="2"/>
    <n v="1"/>
    <n v="150"/>
    <n v="20"/>
    <n v="120"/>
    <n v="78"/>
    <n v="42"/>
  </r>
  <r>
    <s v="ORD0490"/>
    <x v="175"/>
    <x v="3"/>
    <s v="Nagpur"/>
    <x v="0"/>
    <x v="15"/>
    <s v="CUST0094"/>
    <x v="2"/>
    <n v="5"/>
    <n v="130"/>
    <n v="10"/>
    <n v="585"/>
    <n v="380.25"/>
    <n v="204.75"/>
  </r>
  <r>
    <s v="ORD0357"/>
    <x v="176"/>
    <x v="3"/>
    <s v="Nagpur"/>
    <x v="1"/>
    <x v="12"/>
    <s v="CUST0035"/>
    <x v="2"/>
    <n v="2"/>
    <n v="760"/>
    <n v="10"/>
    <n v="1368"/>
    <n v="889.2"/>
    <n v="478.79999999999995"/>
  </r>
  <r>
    <s v="ORD0359"/>
    <x v="176"/>
    <x v="3"/>
    <s v="Nagpur"/>
    <x v="2"/>
    <x v="17"/>
    <s v="CUST0024"/>
    <x v="1"/>
    <n v="2"/>
    <n v="430"/>
    <n v="10"/>
    <n v="774"/>
    <n v="503.1"/>
    <n v="270.89999999999998"/>
  </r>
  <r>
    <s v="ORD0385"/>
    <x v="176"/>
    <x v="0"/>
    <s v="Mumbai"/>
    <x v="3"/>
    <x v="27"/>
    <s v="CUST0067"/>
    <x v="2"/>
    <n v="1"/>
    <n v="320"/>
    <n v="10"/>
    <n v="288"/>
    <n v="187.20000000000002"/>
    <n v="100.79999999999998"/>
  </r>
  <r>
    <s v="ORD0104"/>
    <x v="177"/>
    <x v="3"/>
    <s v="Nagpur"/>
    <x v="1"/>
    <x v="4"/>
    <s v="CUST0060"/>
    <x v="2"/>
    <n v="2"/>
    <n v="1220"/>
    <n v="15"/>
    <n v="2074"/>
    <n v="1348.1000000000001"/>
    <n v="725.89999999999986"/>
  </r>
  <r>
    <s v="ORD0322"/>
    <x v="178"/>
    <x v="3"/>
    <s v="Nagpur"/>
    <x v="3"/>
    <x v="6"/>
    <s v="CUST0110"/>
    <x v="2"/>
    <n v="2"/>
    <n v="940"/>
    <n v="15"/>
    <n v="1598"/>
    <n v="1038.7"/>
    <n v="559.29999999999995"/>
  </r>
  <r>
    <s v="ORD0458"/>
    <x v="178"/>
    <x v="1"/>
    <s v="Aurangabad"/>
    <x v="1"/>
    <x v="11"/>
    <s v="CUST0189"/>
    <x v="1"/>
    <n v="4"/>
    <n v="1350"/>
    <n v="10"/>
    <n v="4860"/>
    <n v="3159"/>
    <n v="1701"/>
  </r>
  <r>
    <s v="ORD0266"/>
    <x v="179"/>
    <x v="4"/>
    <s v="Pune"/>
    <x v="0"/>
    <x v="15"/>
    <s v="CUST0140"/>
    <x v="0"/>
    <n v="4"/>
    <n v="120"/>
    <n v="15"/>
    <n v="408"/>
    <n v="265.2"/>
    <n v="142.80000000000001"/>
  </r>
  <r>
    <s v="ORD0324"/>
    <x v="179"/>
    <x v="0"/>
    <s v="Mumbai"/>
    <x v="3"/>
    <x v="14"/>
    <s v="CUST0001"/>
    <x v="2"/>
    <n v="2"/>
    <n v="1280"/>
    <n v="20"/>
    <n v="2048"/>
    <n v="1331.2"/>
    <n v="716.8"/>
  </r>
  <r>
    <s v="ORD0100"/>
    <x v="180"/>
    <x v="0"/>
    <s v="Mumbai"/>
    <x v="1"/>
    <x v="11"/>
    <s v="CUST0075"/>
    <x v="0"/>
    <n v="1"/>
    <n v="1630"/>
    <n v="10"/>
    <n v="1467"/>
    <n v="953.55000000000007"/>
    <n v="513.44999999999993"/>
  </r>
  <r>
    <s v="ORD0488"/>
    <x v="180"/>
    <x v="1"/>
    <s v="Aurangabad"/>
    <x v="3"/>
    <x v="27"/>
    <s v="CUST0065"/>
    <x v="1"/>
    <n v="3"/>
    <n v="360"/>
    <n v="5"/>
    <n v="1026"/>
    <n v="666.9"/>
    <n v="359.1"/>
  </r>
  <r>
    <s v="ORD0055"/>
    <x v="181"/>
    <x v="1"/>
    <s v="Aurangabad"/>
    <x v="0"/>
    <x v="0"/>
    <s v="CUST0185"/>
    <x v="2"/>
    <n v="2"/>
    <n v="310"/>
    <n v="20"/>
    <n v="496"/>
    <n v="322.40000000000003"/>
    <n v="173.59999999999997"/>
  </r>
  <r>
    <s v="ORD0263"/>
    <x v="182"/>
    <x v="0"/>
    <s v="Mumbai"/>
    <x v="2"/>
    <x v="20"/>
    <s v="CUST0095"/>
    <x v="0"/>
    <n v="1"/>
    <n v="490"/>
    <n v="5"/>
    <n v="465.5"/>
    <n v="302.57499999999999"/>
    <n v="162.92500000000001"/>
  </r>
  <r>
    <s v="ORD0176"/>
    <x v="183"/>
    <x v="2"/>
    <s v="Nashik"/>
    <x v="3"/>
    <x v="5"/>
    <s v="CUST0056"/>
    <x v="2"/>
    <n v="2"/>
    <n v="3160"/>
    <n v="20"/>
    <n v="5056"/>
    <n v="3286.4"/>
    <n v="1769.6"/>
  </r>
  <r>
    <s v="ORD0101"/>
    <x v="184"/>
    <x v="4"/>
    <s v="Pune"/>
    <x v="2"/>
    <x v="3"/>
    <s v="CUST0154"/>
    <x v="0"/>
    <n v="4"/>
    <n v="240"/>
    <n v="5"/>
    <n v="912"/>
    <n v="592.80000000000007"/>
    <n v="319.19999999999993"/>
  </r>
  <r>
    <s v="ORD0105"/>
    <x v="185"/>
    <x v="2"/>
    <s v="Nashik"/>
    <x v="2"/>
    <x v="3"/>
    <s v="CUST0010"/>
    <x v="1"/>
    <n v="5"/>
    <n v="250"/>
    <n v="5"/>
    <n v="1187.5"/>
    <n v="771.875"/>
    <n v="415.625"/>
  </r>
  <r>
    <s v="ORD0185"/>
    <x v="185"/>
    <x v="3"/>
    <s v="Nagpur"/>
    <x v="3"/>
    <x v="21"/>
    <s v="CUST0200"/>
    <x v="1"/>
    <n v="2"/>
    <n v="760"/>
    <n v="5"/>
    <n v="1444"/>
    <n v="938.6"/>
    <n v="505.4"/>
  </r>
  <r>
    <s v="ORD0484"/>
    <x v="185"/>
    <x v="4"/>
    <s v="Pune"/>
    <x v="1"/>
    <x v="13"/>
    <s v="CUST0140"/>
    <x v="1"/>
    <n v="2"/>
    <n v="940"/>
    <n v="5"/>
    <n v="1786"/>
    <n v="1160.9000000000001"/>
    <n v="625.09999999999991"/>
  </r>
  <r>
    <s v="ORD0223"/>
    <x v="186"/>
    <x v="1"/>
    <s v="Aurangabad"/>
    <x v="2"/>
    <x v="20"/>
    <s v="CUST0118"/>
    <x v="2"/>
    <n v="1"/>
    <n v="490"/>
    <n v="15"/>
    <n v="416.5"/>
    <n v="270.72500000000002"/>
    <n v="145.77499999999998"/>
  </r>
  <r>
    <s v="ORD0237"/>
    <x v="186"/>
    <x v="3"/>
    <s v="Nagpur"/>
    <x v="1"/>
    <x v="24"/>
    <s v="CUST0061"/>
    <x v="0"/>
    <n v="1"/>
    <n v="480"/>
    <n v="10"/>
    <n v="432"/>
    <n v="280.8"/>
    <n v="151.19999999999999"/>
  </r>
  <r>
    <s v="ORD0375"/>
    <x v="186"/>
    <x v="0"/>
    <s v="Mumbai"/>
    <x v="0"/>
    <x v="2"/>
    <s v="CUST0088"/>
    <x v="0"/>
    <n v="4"/>
    <n v="260"/>
    <n v="10"/>
    <n v="936"/>
    <n v="608.4"/>
    <n v="327.60000000000002"/>
  </r>
  <r>
    <s v="ORD0438"/>
    <x v="187"/>
    <x v="3"/>
    <s v="Nagpur"/>
    <x v="1"/>
    <x v="24"/>
    <s v="CUST0023"/>
    <x v="2"/>
    <n v="3"/>
    <n v="450"/>
    <n v="20"/>
    <n v="1080"/>
    <n v="702"/>
    <n v="378"/>
  </r>
  <r>
    <s v="ORD0459"/>
    <x v="188"/>
    <x v="1"/>
    <s v="Aurangabad"/>
    <x v="1"/>
    <x v="13"/>
    <s v="CUST0033"/>
    <x v="1"/>
    <n v="2"/>
    <n v="940"/>
    <n v="10"/>
    <n v="1692"/>
    <n v="1099.8"/>
    <n v="592.20000000000005"/>
  </r>
  <r>
    <s v="ORD0498"/>
    <x v="188"/>
    <x v="3"/>
    <s v="Nagpur"/>
    <x v="3"/>
    <x v="21"/>
    <s v="CUST0060"/>
    <x v="1"/>
    <n v="1"/>
    <n v="840"/>
    <n v="0"/>
    <n v="840"/>
    <n v="546"/>
    <n v="294"/>
  </r>
  <r>
    <s v="ORD0022"/>
    <x v="189"/>
    <x v="4"/>
    <s v="Pune"/>
    <x v="1"/>
    <x v="11"/>
    <s v="CUST0122"/>
    <x v="2"/>
    <n v="1"/>
    <n v="1420"/>
    <n v="10"/>
    <n v="1278"/>
    <n v="830.7"/>
    <n v="447.29999999999995"/>
  </r>
  <r>
    <s v="ORD0057"/>
    <x v="189"/>
    <x v="4"/>
    <s v="Pune"/>
    <x v="0"/>
    <x v="0"/>
    <s v="CUST0074"/>
    <x v="1"/>
    <n v="1"/>
    <n v="270"/>
    <n v="10"/>
    <n v="243"/>
    <n v="157.95000000000002"/>
    <n v="85.049999999999983"/>
  </r>
  <r>
    <s v="ORD0071"/>
    <x v="190"/>
    <x v="0"/>
    <s v="Mumbai"/>
    <x v="2"/>
    <x v="20"/>
    <s v="CUST0118"/>
    <x v="0"/>
    <n v="2"/>
    <n v="460"/>
    <n v="15"/>
    <n v="782"/>
    <n v="508.3"/>
    <n v="273.7"/>
  </r>
  <r>
    <s v="ORD0156"/>
    <x v="191"/>
    <x v="2"/>
    <s v="Nashik"/>
    <x v="2"/>
    <x v="20"/>
    <s v="CUST0161"/>
    <x v="0"/>
    <n v="2"/>
    <n v="480"/>
    <n v="10"/>
    <n v="864"/>
    <n v="561.6"/>
    <n v="302.39999999999998"/>
  </r>
  <r>
    <s v="ORD0439"/>
    <x v="191"/>
    <x v="4"/>
    <s v="Pune"/>
    <x v="3"/>
    <x v="5"/>
    <s v="CUST0026"/>
    <x v="2"/>
    <n v="2"/>
    <n v="3660"/>
    <n v="15"/>
    <n v="6222"/>
    <n v="4044.3"/>
    <n v="2177.6999999999998"/>
  </r>
  <r>
    <s v="ORD0074"/>
    <x v="192"/>
    <x v="3"/>
    <s v="Nagpur"/>
    <x v="1"/>
    <x v="11"/>
    <s v="CUST0067"/>
    <x v="0"/>
    <n v="4"/>
    <n v="1410"/>
    <n v="15"/>
    <n v="4794"/>
    <n v="3116.1"/>
    <n v="1677.9"/>
  </r>
  <r>
    <s v="ORD0187"/>
    <x v="193"/>
    <x v="3"/>
    <s v="Nagpur"/>
    <x v="0"/>
    <x v="22"/>
    <s v="CUST0021"/>
    <x v="0"/>
    <n v="5"/>
    <n v="160"/>
    <n v="5"/>
    <n v="760"/>
    <n v="494"/>
    <n v="266"/>
  </r>
  <r>
    <s v="ORD0194"/>
    <x v="194"/>
    <x v="1"/>
    <s v="Aurangabad"/>
    <x v="2"/>
    <x v="26"/>
    <s v="CUST0067"/>
    <x v="0"/>
    <n v="1"/>
    <n v="480"/>
    <n v="15"/>
    <n v="408"/>
    <n v="265.2"/>
    <n v="142.80000000000001"/>
  </r>
  <r>
    <s v="ORD0265"/>
    <x v="194"/>
    <x v="1"/>
    <s v="Aurangabad"/>
    <x v="0"/>
    <x v="30"/>
    <s v="CUST0126"/>
    <x v="2"/>
    <n v="2"/>
    <n v="90"/>
    <n v="15"/>
    <n v="153"/>
    <n v="99.45"/>
    <n v="53.55"/>
  </r>
  <r>
    <s v="ORD0091"/>
    <x v="195"/>
    <x v="1"/>
    <s v="Aurangabad"/>
    <x v="2"/>
    <x v="9"/>
    <s v="CUST0011"/>
    <x v="2"/>
    <n v="3"/>
    <n v="820"/>
    <n v="20"/>
    <n v="1968"/>
    <n v="1279.2"/>
    <n v="688.8"/>
  </r>
  <r>
    <s v="ORD0037"/>
    <x v="196"/>
    <x v="2"/>
    <s v="Nashik"/>
    <x v="0"/>
    <x v="31"/>
    <s v="CUST0109"/>
    <x v="2"/>
    <n v="1"/>
    <n v="320"/>
    <n v="15"/>
    <n v="272"/>
    <n v="176.8"/>
    <n v="95.199999999999989"/>
  </r>
  <r>
    <s v="ORD0167"/>
    <x v="197"/>
    <x v="1"/>
    <s v="Aurangabad"/>
    <x v="3"/>
    <x v="29"/>
    <s v="CUST0159"/>
    <x v="1"/>
    <n v="1"/>
    <n v="700"/>
    <n v="0"/>
    <n v="700"/>
    <n v="455"/>
    <n v="245"/>
  </r>
  <r>
    <s v="ORD0218"/>
    <x v="197"/>
    <x v="1"/>
    <s v="Aurangabad"/>
    <x v="2"/>
    <x v="17"/>
    <s v="CUST0005"/>
    <x v="0"/>
    <n v="2"/>
    <n v="400"/>
    <n v="10"/>
    <n v="720"/>
    <n v="468"/>
    <n v="252"/>
  </r>
  <r>
    <s v="ORD0030"/>
    <x v="198"/>
    <x v="0"/>
    <s v="Mumbai"/>
    <x v="1"/>
    <x v="12"/>
    <s v="CUST0173"/>
    <x v="2"/>
    <n v="2"/>
    <n v="710"/>
    <n v="20"/>
    <n v="1136"/>
    <n v="738.4"/>
    <n v="397.6"/>
  </r>
  <r>
    <s v="ORD0334"/>
    <x v="198"/>
    <x v="4"/>
    <s v="Pune"/>
    <x v="2"/>
    <x v="17"/>
    <s v="CUST0062"/>
    <x v="0"/>
    <n v="1"/>
    <n v="410"/>
    <n v="10"/>
    <n v="369"/>
    <n v="239.85"/>
    <n v="129.15"/>
  </r>
  <r>
    <s v="ORD0470"/>
    <x v="199"/>
    <x v="0"/>
    <s v="Mumbai"/>
    <x v="2"/>
    <x v="10"/>
    <s v="CUST0143"/>
    <x v="1"/>
    <n v="1"/>
    <n v="690"/>
    <n v="5"/>
    <n v="655.5"/>
    <n v="426.07499999999999"/>
    <n v="229.42500000000001"/>
  </r>
  <r>
    <s v="ORD0047"/>
    <x v="200"/>
    <x v="1"/>
    <s v="Aurangabad"/>
    <x v="1"/>
    <x v="8"/>
    <s v="CUST0171"/>
    <x v="2"/>
    <n v="2"/>
    <n v="340"/>
    <n v="20"/>
    <n v="544"/>
    <n v="353.6"/>
    <n v="190.39999999999998"/>
  </r>
  <r>
    <s v="ORD0473"/>
    <x v="200"/>
    <x v="0"/>
    <s v="Mumbai"/>
    <x v="1"/>
    <x v="1"/>
    <s v="CUST0104"/>
    <x v="1"/>
    <n v="1"/>
    <n v="760"/>
    <n v="0"/>
    <n v="760"/>
    <n v="494"/>
    <n v="266"/>
  </r>
  <r>
    <s v="ORD0072"/>
    <x v="201"/>
    <x v="3"/>
    <s v="Nagpur"/>
    <x v="2"/>
    <x v="9"/>
    <s v="CUST0188"/>
    <x v="0"/>
    <n v="1"/>
    <n v="890"/>
    <n v="5"/>
    <n v="845.5"/>
    <n v="549.57500000000005"/>
    <n v="295.92499999999995"/>
  </r>
  <r>
    <s v="ORD0085"/>
    <x v="201"/>
    <x v="2"/>
    <s v="Nashik"/>
    <x v="2"/>
    <x v="9"/>
    <s v="CUST0151"/>
    <x v="2"/>
    <n v="1"/>
    <n v="860"/>
    <n v="20"/>
    <n v="688"/>
    <n v="447.2"/>
    <n v="240.8"/>
  </r>
  <r>
    <s v="ORD0437"/>
    <x v="201"/>
    <x v="4"/>
    <s v="Pune"/>
    <x v="0"/>
    <x v="28"/>
    <s v="CUST0011"/>
    <x v="0"/>
    <n v="4"/>
    <n v="90"/>
    <n v="15"/>
    <n v="306"/>
    <n v="198.9"/>
    <n v="107.1"/>
  </r>
  <r>
    <s v="ORD0035"/>
    <x v="202"/>
    <x v="0"/>
    <s v="Mumbai"/>
    <x v="0"/>
    <x v="22"/>
    <s v="CUST0035"/>
    <x v="1"/>
    <n v="4"/>
    <n v="160"/>
    <n v="10"/>
    <n v="576"/>
    <n v="374.40000000000003"/>
    <n v="201.59999999999997"/>
  </r>
  <r>
    <s v="ORD0242"/>
    <x v="202"/>
    <x v="3"/>
    <s v="Nagpur"/>
    <x v="3"/>
    <x v="5"/>
    <s v="CUST0141"/>
    <x v="2"/>
    <n v="1"/>
    <n v="3190"/>
    <n v="20"/>
    <n v="2552"/>
    <n v="1658.8"/>
    <n v="893.2"/>
  </r>
  <r>
    <s v="ORD0275"/>
    <x v="202"/>
    <x v="0"/>
    <s v="Mumbai"/>
    <x v="1"/>
    <x v="4"/>
    <s v="CUST0178"/>
    <x v="2"/>
    <n v="2"/>
    <n v="1300"/>
    <n v="10"/>
    <n v="2340"/>
    <n v="1521"/>
    <n v="819"/>
  </r>
  <r>
    <s v="ORD0306"/>
    <x v="202"/>
    <x v="3"/>
    <s v="Nagpur"/>
    <x v="2"/>
    <x v="7"/>
    <s v="CUST0090"/>
    <x v="0"/>
    <n v="2"/>
    <n v="300"/>
    <n v="5"/>
    <n v="570"/>
    <n v="370.5"/>
    <n v="199.5"/>
  </r>
  <r>
    <s v="ORD0154"/>
    <x v="203"/>
    <x v="1"/>
    <s v="Aurangabad"/>
    <x v="1"/>
    <x v="8"/>
    <s v="CUST0166"/>
    <x v="2"/>
    <n v="1"/>
    <n v="340"/>
    <n v="10"/>
    <n v="306"/>
    <n v="198.9"/>
    <n v="107.1"/>
  </r>
  <r>
    <s v="ORD0193"/>
    <x v="203"/>
    <x v="3"/>
    <s v="Nagpur"/>
    <x v="2"/>
    <x v="20"/>
    <s v="CUST0064"/>
    <x v="2"/>
    <n v="1"/>
    <n v="460"/>
    <n v="10"/>
    <n v="414"/>
    <n v="269.10000000000002"/>
    <n v="144.89999999999998"/>
  </r>
  <r>
    <s v="ORD0229"/>
    <x v="203"/>
    <x v="4"/>
    <s v="Pune"/>
    <x v="1"/>
    <x v="24"/>
    <s v="CUST0085"/>
    <x v="0"/>
    <n v="1"/>
    <n v="460"/>
    <n v="5"/>
    <n v="437"/>
    <n v="284.05"/>
    <n v="152.94999999999999"/>
  </r>
  <r>
    <s v="ORD0258"/>
    <x v="203"/>
    <x v="4"/>
    <s v="Pune"/>
    <x v="2"/>
    <x v="19"/>
    <s v="CUST0085"/>
    <x v="0"/>
    <n v="4"/>
    <n v="1240"/>
    <n v="10"/>
    <n v="4464"/>
    <n v="2901.6"/>
    <n v="1562.4"/>
  </r>
  <r>
    <s v="ORD0371"/>
    <x v="203"/>
    <x v="3"/>
    <s v="Nagpur"/>
    <x v="1"/>
    <x v="13"/>
    <s v="CUST0169"/>
    <x v="1"/>
    <n v="2"/>
    <n v="830"/>
    <n v="10"/>
    <n v="1494"/>
    <n v="971.1"/>
    <n v="522.9"/>
  </r>
  <r>
    <s v="ORD0108"/>
    <x v="204"/>
    <x v="2"/>
    <s v="Nashik"/>
    <x v="0"/>
    <x v="0"/>
    <s v="CUST0010"/>
    <x v="0"/>
    <n v="1"/>
    <n v="320"/>
    <n v="15"/>
    <n v="272"/>
    <n v="176.8"/>
    <n v="95.199999999999989"/>
  </r>
  <r>
    <s v="ORD0079"/>
    <x v="205"/>
    <x v="4"/>
    <s v="Pune"/>
    <x v="1"/>
    <x v="4"/>
    <s v="CUST0071"/>
    <x v="0"/>
    <n v="5"/>
    <n v="1260"/>
    <n v="15"/>
    <n v="5355"/>
    <n v="3480.75"/>
    <n v="1874.25"/>
  </r>
  <r>
    <s v="ORD0061"/>
    <x v="206"/>
    <x v="1"/>
    <s v="Aurangabad"/>
    <x v="1"/>
    <x v="11"/>
    <s v="CUST0112"/>
    <x v="0"/>
    <n v="1"/>
    <n v="1410"/>
    <n v="15"/>
    <n v="1198.5"/>
    <n v="779.02499999999998"/>
    <n v="419.47500000000002"/>
  </r>
  <r>
    <s v="ORD0309"/>
    <x v="206"/>
    <x v="4"/>
    <s v="Pune"/>
    <x v="1"/>
    <x v="11"/>
    <s v="CUST0048"/>
    <x v="0"/>
    <n v="2"/>
    <n v="1440"/>
    <n v="5"/>
    <n v="2736"/>
    <n v="1778.4"/>
    <n v="957.59999999999991"/>
  </r>
  <r>
    <s v="ORD0248"/>
    <x v="207"/>
    <x v="4"/>
    <s v="Pune"/>
    <x v="0"/>
    <x v="22"/>
    <s v="CUST0138"/>
    <x v="0"/>
    <n v="1"/>
    <n v="140"/>
    <n v="5"/>
    <n v="133"/>
    <n v="86.45"/>
    <n v="46.55"/>
  </r>
  <r>
    <s v="ORD0278"/>
    <x v="207"/>
    <x v="3"/>
    <s v="Nagpur"/>
    <x v="2"/>
    <x v="3"/>
    <s v="CUST0177"/>
    <x v="0"/>
    <n v="2"/>
    <n v="260"/>
    <n v="10"/>
    <n v="468"/>
    <n v="304.2"/>
    <n v="163.80000000000001"/>
  </r>
  <r>
    <s v="ORD0374"/>
    <x v="208"/>
    <x v="3"/>
    <s v="Nagpur"/>
    <x v="1"/>
    <x v="11"/>
    <s v="CUST0015"/>
    <x v="1"/>
    <n v="1"/>
    <n v="1360"/>
    <n v="10"/>
    <n v="1224"/>
    <n v="795.6"/>
    <n v="428.4"/>
  </r>
  <r>
    <s v="ORD0188"/>
    <x v="209"/>
    <x v="3"/>
    <s v="Nagpur"/>
    <x v="0"/>
    <x v="22"/>
    <s v="CUST0170"/>
    <x v="1"/>
    <n v="2"/>
    <n v="140"/>
    <n v="10"/>
    <n v="252"/>
    <n v="163.80000000000001"/>
    <n v="88.199999999999989"/>
  </r>
  <r>
    <s v="ORD0462"/>
    <x v="210"/>
    <x v="3"/>
    <s v="Nagpur"/>
    <x v="1"/>
    <x v="4"/>
    <s v="CUST0183"/>
    <x v="1"/>
    <n v="1"/>
    <n v="1130"/>
    <n v="10"/>
    <n v="1017"/>
    <n v="661.05000000000007"/>
    <n v="355.94999999999993"/>
  </r>
  <r>
    <s v="ORD0241"/>
    <x v="211"/>
    <x v="2"/>
    <s v="Nashik"/>
    <x v="1"/>
    <x v="4"/>
    <s v="CUST0153"/>
    <x v="2"/>
    <n v="1"/>
    <n v="1240"/>
    <n v="15"/>
    <n v="1054"/>
    <n v="685.1"/>
    <n v="368.9"/>
  </r>
  <r>
    <s v="ORD0313"/>
    <x v="211"/>
    <x v="1"/>
    <s v="Aurangabad"/>
    <x v="3"/>
    <x v="5"/>
    <s v="CUST0140"/>
    <x v="2"/>
    <n v="1"/>
    <n v="3340"/>
    <n v="10"/>
    <n v="3006"/>
    <n v="1953.9"/>
    <n v="1052.0999999999999"/>
  </r>
  <r>
    <s v="ORD0006"/>
    <x v="212"/>
    <x v="3"/>
    <s v="Nagpur"/>
    <x v="0"/>
    <x v="2"/>
    <s v="CUST0012"/>
    <x v="0"/>
    <n v="3"/>
    <n v="260"/>
    <n v="5"/>
    <n v="741"/>
    <n v="481.65000000000003"/>
    <n v="259.34999999999997"/>
  </r>
  <r>
    <s v="ORD0087"/>
    <x v="212"/>
    <x v="0"/>
    <s v="Mumbai"/>
    <x v="1"/>
    <x v="24"/>
    <s v="CUST0177"/>
    <x v="0"/>
    <n v="1"/>
    <n v="490"/>
    <n v="5"/>
    <n v="465.5"/>
    <n v="302.57499999999999"/>
    <n v="162.92500000000001"/>
  </r>
  <r>
    <s v="ORD0410"/>
    <x v="212"/>
    <x v="3"/>
    <s v="Nagpur"/>
    <x v="0"/>
    <x v="15"/>
    <s v="CUST0067"/>
    <x v="0"/>
    <n v="2"/>
    <n v="140"/>
    <n v="10"/>
    <n v="252"/>
    <n v="163.80000000000001"/>
    <n v="88.199999999999989"/>
  </r>
  <r>
    <s v="ORD0036"/>
    <x v="213"/>
    <x v="4"/>
    <s v="Pune"/>
    <x v="0"/>
    <x v="30"/>
    <s v="CUST0184"/>
    <x v="0"/>
    <n v="2"/>
    <n v="90"/>
    <n v="10"/>
    <n v="162"/>
    <n v="105.3"/>
    <n v="56.7"/>
  </r>
  <r>
    <s v="ORD0388"/>
    <x v="213"/>
    <x v="1"/>
    <s v="Aurangabad"/>
    <x v="0"/>
    <x v="30"/>
    <s v="CUST0025"/>
    <x v="1"/>
    <n v="2"/>
    <n v="90"/>
    <n v="5"/>
    <n v="171"/>
    <n v="111.15"/>
    <n v="59.849999999999994"/>
  </r>
  <r>
    <s v="ORD0362"/>
    <x v="214"/>
    <x v="1"/>
    <s v="Aurangabad"/>
    <x v="1"/>
    <x v="12"/>
    <s v="CUST0036"/>
    <x v="1"/>
    <n v="1"/>
    <n v="690"/>
    <n v="0"/>
    <n v="690"/>
    <n v="448.5"/>
    <n v="241.5"/>
  </r>
  <r>
    <s v="ORD0009"/>
    <x v="215"/>
    <x v="4"/>
    <s v="Pune"/>
    <x v="0"/>
    <x v="31"/>
    <s v="CUST0009"/>
    <x v="2"/>
    <n v="2"/>
    <n v="330"/>
    <n v="10"/>
    <n v="594"/>
    <n v="386.1"/>
    <n v="207.89999999999998"/>
  </r>
  <r>
    <s v="ORD0121"/>
    <x v="215"/>
    <x v="3"/>
    <s v="Nagpur"/>
    <x v="3"/>
    <x v="6"/>
    <s v="CUST0138"/>
    <x v="1"/>
    <n v="1"/>
    <n v="900"/>
    <n v="10"/>
    <n v="810"/>
    <n v="526.5"/>
    <n v="283.5"/>
  </r>
  <r>
    <s v="ORD0255"/>
    <x v="215"/>
    <x v="1"/>
    <s v="Aurangabad"/>
    <x v="1"/>
    <x v="1"/>
    <s v="CUST0013"/>
    <x v="2"/>
    <n v="4"/>
    <n v="760"/>
    <n v="20"/>
    <n v="2432"/>
    <n v="1580.8"/>
    <n v="851.2"/>
  </r>
  <r>
    <s v="ORD0467"/>
    <x v="216"/>
    <x v="4"/>
    <s v="Pune"/>
    <x v="2"/>
    <x v="19"/>
    <s v="CUST0179"/>
    <x v="1"/>
    <n v="2"/>
    <n v="1300"/>
    <n v="5"/>
    <n v="2470"/>
    <n v="1605.5"/>
    <n v="864.5"/>
  </r>
  <r>
    <s v="ORD0063"/>
    <x v="217"/>
    <x v="0"/>
    <s v="Mumbai"/>
    <x v="3"/>
    <x v="6"/>
    <s v="CUST0119"/>
    <x v="1"/>
    <n v="1"/>
    <n v="930"/>
    <n v="5"/>
    <n v="883.5"/>
    <n v="574.27499999999998"/>
    <n v="309.22500000000002"/>
  </r>
  <r>
    <s v="ORD0393"/>
    <x v="217"/>
    <x v="0"/>
    <s v="Mumbai"/>
    <x v="1"/>
    <x v="12"/>
    <s v="CUST0089"/>
    <x v="2"/>
    <n v="2"/>
    <n v="640"/>
    <n v="20"/>
    <n v="1024"/>
    <n v="665.6"/>
    <n v="358.4"/>
  </r>
  <r>
    <s v="ORD0070"/>
    <x v="218"/>
    <x v="0"/>
    <s v="Mumbai"/>
    <x v="0"/>
    <x v="28"/>
    <s v="CUST0018"/>
    <x v="0"/>
    <n v="1"/>
    <n v="100"/>
    <n v="10"/>
    <n v="90"/>
    <n v="58.5"/>
    <n v="31.5"/>
  </r>
  <r>
    <s v="ORD0146"/>
    <x v="219"/>
    <x v="1"/>
    <s v="Aurangabad"/>
    <x v="3"/>
    <x v="23"/>
    <s v="CUST0194"/>
    <x v="0"/>
    <n v="2"/>
    <n v="1770"/>
    <n v="10"/>
    <n v="3186"/>
    <n v="2070.9"/>
    <n v="1115.0999999999999"/>
  </r>
  <r>
    <s v="ORD0407"/>
    <x v="220"/>
    <x v="0"/>
    <s v="Mumbai"/>
    <x v="1"/>
    <x v="4"/>
    <s v="CUST0052"/>
    <x v="2"/>
    <n v="1"/>
    <n v="1290"/>
    <n v="15"/>
    <n v="1096.5"/>
    <n v="712.72500000000002"/>
    <n v="383.77499999999998"/>
  </r>
  <r>
    <s v="ORD0115"/>
    <x v="221"/>
    <x v="3"/>
    <s v="Nagpur"/>
    <x v="0"/>
    <x v="30"/>
    <s v="CUST0169"/>
    <x v="0"/>
    <n v="1"/>
    <n v="80"/>
    <n v="15"/>
    <n v="68"/>
    <n v="44.2"/>
    <n v="23.799999999999997"/>
  </r>
  <r>
    <s v="ORD0205"/>
    <x v="221"/>
    <x v="2"/>
    <s v="Nashik"/>
    <x v="3"/>
    <x v="25"/>
    <s v="CUST0140"/>
    <x v="1"/>
    <n v="5"/>
    <n v="1620"/>
    <n v="5"/>
    <n v="7695"/>
    <n v="5001.75"/>
    <n v="2693.25"/>
  </r>
  <r>
    <s v="ORD0286"/>
    <x v="221"/>
    <x v="1"/>
    <s v="Aurangabad"/>
    <x v="1"/>
    <x v="1"/>
    <s v="CUST0069"/>
    <x v="0"/>
    <n v="2"/>
    <n v="700"/>
    <n v="5"/>
    <n v="1330"/>
    <n v="864.5"/>
    <n v="465.5"/>
  </r>
  <r>
    <s v="ORD0396"/>
    <x v="221"/>
    <x v="1"/>
    <s v="Aurangabad"/>
    <x v="1"/>
    <x v="12"/>
    <s v="CUST0115"/>
    <x v="1"/>
    <n v="5"/>
    <n v="760"/>
    <n v="0"/>
    <n v="3800"/>
    <n v="2470"/>
    <n v="1330"/>
  </r>
  <r>
    <s v="ORD0395"/>
    <x v="222"/>
    <x v="4"/>
    <s v="Pune"/>
    <x v="2"/>
    <x v="17"/>
    <s v="CUST0183"/>
    <x v="1"/>
    <n v="2"/>
    <n v="370"/>
    <n v="10"/>
    <n v="666"/>
    <n v="432.90000000000003"/>
    <n v="233.09999999999997"/>
  </r>
  <r>
    <s v="ORD0179"/>
    <x v="223"/>
    <x v="4"/>
    <s v="Pune"/>
    <x v="1"/>
    <x v="16"/>
    <s v="CUST0158"/>
    <x v="0"/>
    <n v="2"/>
    <n v="590"/>
    <n v="5"/>
    <n v="1121"/>
    <n v="728.65"/>
    <n v="392.35"/>
  </r>
  <r>
    <s v="ORD0298"/>
    <x v="223"/>
    <x v="4"/>
    <s v="Pune"/>
    <x v="2"/>
    <x v="20"/>
    <s v="CUST0198"/>
    <x v="0"/>
    <n v="2"/>
    <n v="440"/>
    <n v="5"/>
    <n v="836"/>
    <n v="543.4"/>
    <n v="292.60000000000002"/>
  </r>
  <r>
    <s v="ORD0219"/>
    <x v="224"/>
    <x v="3"/>
    <s v="Nagpur"/>
    <x v="3"/>
    <x v="25"/>
    <s v="CUST0168"/>
    <x v="2"/>
    <n v="3"/>
    <n v="1430"/>
    <n v="20"/>
    <n v="3432"/>
    <n v="2230.8000000000002"/>
    <n v="1201.1999999999998"/>
  </r>
  <r>
    <s v="ORD0423"/>
    <x v="224"/>
    <x v="1"/>
    <s v="Aurangabad"/>
    <x v="3"/>
    <x v="25"/>
    <s v="CUST0129"/>
    <x v="1"/>
    <n v="2"/>
    <n v="1620"/>
    <n v="10"/>
    <n v="2916"/>
    <n v="1895.4"/>
    <n v="1020.5999999999999"/>
  </r>
  <r>
    <s v="ORD0132"/>
    <x v="225"/>
    <x v="3"/>
    <s v="Nagpur"/>
    <x v="3"/>
    <x v="14"/>
    <s v="CUST0033"/>
    <x v="0"/>
    <n v="2"/>
    <n v="1240"/>
    <n v="15"/>
    <n v="2108"/>
    <n v="1370.2"/>
    <n v="737.8"/>
  </r>
  <r>
    <s v="ORD0316"/>
    <x v="225"/>
    <x v="3"/>
    <s v="Nagpur"/>
    <x v="2"/>
    <x v="3"/>
    <s v="CUST0053"/>
    <x v="2"/>
    <n v="3"/>
    <n v="250"/>
    <n v="20"/>
    <n v="600"/>
    <n v="390"/>
    <n v="210"/>
  </r>
  <r>
    <s v="ORD0495"/>
    <x v="226"/>
    <x v="4"/>
    <s v="Pune"/>
    <x v="3"/>
    <x v="27"/>
    <s v="CUST0139"/>
    <x v="0"/>
    <n v="3"/>
    <n v="350"/>
    <n v="10"/>
    <n v="945"/>
    <n v="614.25"/>
    <n v="330.75"/>
  </r>
  <r>
    <s v="ORD0292"/>
    <x v="227"/>
    <x v="1"/>
    <s v="Aurangabad"/>
    <x v="1"/>
    <x v="24"/>
    <s v="CUST0119"/>
    <x v="2"/>
    <n v="1"/>
    <n v="540"/>
    <n v="15"/>
    <n v="459"/>
    <n v="298.35000000000002"/>
    <n v="160.64999999999998"/>
  </r>
  <r>
    <s v="ORD0080"/>
    <x v="228"/>
    <x v="3"/>
    <s v="Nagpur"/>
    <x v="3"/>
    <x v="21"/>
    <s v="CUST0093"/>
    <x v="1"/>
    <n v="1"/>
    <n v="770"/>
    <n v="10"/>
    <n v="693"/>
    <n v="450.45"/>
    <n v="242.55"/>
  </r>
  <r>
    <s v="ORD0129"/>
    <x v="228"/>
    <x v="0"/>
    <s v="Mumbai"/>
    <x v="3"/>
    <x v="29"/>
    <s v="CUST0033"/>
    <x v="2"/>
    <n v="1"/>
    <n v="620"/>
    <n v="20"/>
    <n v="496"/>
    <n v="322.40000000000003"/>
    <n v="173.59999999999997"/>
  </r>
  <r>
    <s v="ORD0333"/>
    <x v="229"/>
    <x v="1"/>
    <s v="Aurangabad"/>
    <x v="0"/>
    <x v="31"/>
    <s v="CUST0169"/>
    <x v="2"/>
    <n v="1"/>
    <n v="370"/>
    <n v="20"/>
    <n v="296"/>
    <n v="192.4"/>
    <n v="103.6"/>
  </r>
  <r>
    <s v="ORD0454"/>
    <x v="229"/>
    <x v="2"/>
    <s v="Nashik"/>
    <x v="0"/>
    <x v="0"/>
    <s v="CUST0195"/>
    <x v="0"/>
    <n v="1"/>
    <n v="280"/>
    <n v="10"/>
    <n v="252"/>
    <n v="163.80000000000001"/>
    <n v="88.199999999999989"/>
  </r>
  <r>
    <s v="ORD0163"/>
    <x v="230"/>
    <x v="4"/>
    <s v="Pune"/>
    <x v="0"/>
    <x v="22"/>
    <s v="CUST0037"/>
    <x v="2"/>
    <n v="1"/>
    <n v="150"/>
    <n v="20"/>
    <n v="120"/>
    <n v="78"/>
    <n v="42"/>
  </r>
  <r>
    <s v="ORD0290"/>
    <x v="230"/>
    <x v="4"/>
    <s v="Pune"/>
    <x v="2"/>
    <x v="20"/>
    <s v="CUST0102"/>
    <x v="2"/>
    <n v="1"/>
    <n v="420"/>
    <n v="20"/>
    <n v="336"/>
    <n v="218.4"/>
    <n v="117.6"/>
  </r>
  <r>
    <s v="ORD0204"/>
    <x v="231"/>
    <x v="3"/>
    <s v="Nagpur"/>
    <x v="3"/>
    <x v="23"/>
    <s v="CUST0165"/>
    <x v="2"/>
    <n v="1"/>
    <n v="1740"/>
    <n v="10"/>
    <n v="1566"/>
    <n v="1017.9000000000001"/>
    <n v="548.09999999999991"/>
  </r>
  <r>
    <s v="ORD0050"/>
    <x v="232"/>
    <x v="3"/>
    <s v="Nagpur"/>
    <x v="2"/>
    <x v="9"/>
    <s v="CUST0055"/>
    <x v="0"/>
    <n v="3"/>
    <n v="890"/>
    <n v="15"/>
    <n v="2269.5"/>
    <n v="1475.175"/>
    <n v="794.32500000000005"/>
  </r>
  <r>
    <s v="ORD0177"/>
    <x v="233"/>
    <x v="1"/>
    <s v="Aurangabad"/>
    <x v="2"/>
    <x v="26"/>
    <s v="CUST0061"/>
    <x v="0"/>
    <n v="1"/>
    <n v="530"/>
    <n v="10"/>
    <n v="477"/>
    <n v="310.05"/>
    <n v="166.95"/>
  </r>
  <r>
    <s v="ORD0191"/>
    <x v="233"/>
    <x v="2"/>
    <s v="Nashik"/>
    <x v="3"/>
    <x v="14"/>
    <s v="CUST0200"/>
    <x v="0"/>
    <n v="1"/>
    <n v="1190"/>
    <n v="15"/>
    <n v="1011.5"/>
    <n v="657.47500000000002"/>
    <n v="354.02499999999998"/>
  </r>
  <r>
    <s v="ORD0169"/>
    <x v="234"/>
    <x v="3"/>
    <s v="Nagpur"/>
    <x v="2"/>
    <x v="19"/>
    <s v="CUST0080"/>
    <x v="2"/>
    <n v="3"/>
    <n v="1310"/>
    <n v="10"/>
    <n v="3537"/>
    <n v="2299.0500000000002"/>
    <n v="1237.9499999999998"/>
  </r>
  <r>
    <s v="ORD0472"/>
    <x v="235"/>
    <x v="3"/>
    <s v="Nagpur"/>
    <x v="2"/>
    <x v="20"/>
    <s v="CUST0182"/>
    <x v="0"/>
    <n v="1"/>
    <n v="410"/>
    <n v="5"/>
    <n v="389.5"/>
    <n v="253.17500000000001"/>
    <n v="136.32499999999999"/>
  </r>
  <r>
    <s v="ORD0041"/>
    <x v="236"/>
    <x v="4"/>
    <s v="Pune"/>
    <x v="1"/>
    <x v="13"/>
    <s v="CUST0046"/>
    <x v="2"/>
    <n v="1"/>
    <n v="980"/>
    <n v="20"/>
    <n v="784"/>
    <n v="509.6"/>
    <n v="274.39999999999998"/>
  </r>
  <r>
    <s v="ORD0143"/>
    <x v="237"/>
    <x v="1"/>
    <s v="Aurangabad"/>
    <x v="3"/>
    <x v="27"/>
    <s v="CUST0070"/>
    <x v="0"/>
    <n v="1"/>
    <n v="320"/>
    <n v="10"/>
    <n v="288"/>
    <n v="187.20000000000002"/>
    <n v="100.79999999999998"/>
  </r>
  <r>
    <s v="ORD0288"/>
    <x v="238"/>
    <x v="2"/>
    <s v="Nashik"/>
    <x v="1"/>
    <x v="11"/>
    <s v="CUST0078"/>
    <x v="1"/>
    <n v="1"/>
    <n v="1380"/>
    <n v="10"/>
    <n v="1242"/>
    <n v="807.30000000000007"/>
    <n v="434.69999999999993"/>
  </r>
  <r>
    <s v="ORD0494"/>
    <x v="238"/>
    <x v="0"/>
    <s v="Mumbai"/>
    <x v="3"/>
    <x v="23"/>
    <s v="CUST0162"/>
    <x v="1"/>
    <n v="2"/>
    <n v="2030"/>
    <n v="5"/>
    <n v="3857"/>
    <n v="2507.0500000000002"/>
    <n v="1349.9499999999998"/>
  </r>
  <r>
    <s v="ORD0053"/>
    <x v="239"/>
    <x v="1"/>
    <s v="Aurangabad"/>
    <x v="1"/>
    <x v="1"/>
    <s v="CUST0063"/>
    <x v="1"/>
    <n v="2"/>
    <n v="750"/>
    <n v="0"/>
    <n v="1500"/>
    <n v="975"/>
    <n v="525"/>
  </r>
  <r>
    <s v="ORD0268"/>
    <x v="239"/>
    <x v="4"/>
    <s v="Pune"/>
    <x v="3"/>
    <x v="14"/>
    <s v="CUST0130"/>
    <x v="0"/>
    <n v="1"/>
    <n v="1170"/>
    <n v="15"/>
    <n v="994.5"/>
    <n v="646.42500000000007"/>
    <n v="348.07499999999993"/>
  </r>
  <r>
    <s v="ORD0435"/>
    <x v="239"/>
    <x v="0"/>
    <s v="Mumbai"/>
    <x v="0"/>
    <x v="28"/>
    <s v="CUST0170"/>
    <x v="0"/>
    <n v="2"/>
    <n v="100"/>
    <n v="15"/>
    <n v="170"/>
    <n v="110.5"/>
    <n v="59.5"/>
  </r>
  <r>
    <s v="ORD0291"/>
    <x v="240"/>
    <x v="2"/>
    <s v="Nashik"/>
    <x v="1"/>
    <x v="8"/>
    <s v="CUST0101"/>
    <x v="0"/>
    <n v="4"/>
    <n v="340"/>
    <n v="5"/>
    <n v="1292"/>
    <n v="839.80000000000007"/>
    <n v="452.19999999999993"/>
  </r>
  <r>
    <s v="ORD0455"/>
    <x v="240"/>
    <x v="3"/>
    <s v="Nagpur"/>
    <x v="0"/>
    <x v="22"/>
    <s v="CUST0043"/>
    <x v="0"/>
    <n v="3"/>
    <n v="140"/>
    <n v="15"/>
    <n v="357"/>
    <n v="232.05"/>
    <n v="124.94999999999999"/>
  </r>
  <r>
    <s v="ORD0335"/>
    <x v="241"/>
    <x v="1"/>
    <s v="Aurangabad"/>
    <x v="3"/>
    <x v="23"/>
    <s v="CUST0082"/>
    <x v="1"/>
    <n v="4"/>
    <n v="2080"/>
    <n v="10"/>
    <n v="7488"/>
    <n v="4867.2"/>
    <n v="2620.8000000000002"/>
  </r>
  <r>
    <s v="ORD0001"/>
    <x v="242"/>
    <x v="0"/>
    <s v="Mumbai"/>
    <x v="3"/>
    <x v="27"/>
    <s v="CUST0036"/>
    <x v="0"/>
    <n v="2"/>
    <n v="330"/>
    <n v="15"/>
    <n v="561"/>
    <n v="364.65000000000003"/>
    <n v="196.34999999999997"/>
  </r>
  <r>
    <s v="ORD0178"/>
    <x v="242"/>
    <x v="1"/>
    <s v="Aurangabad"/>
    <x v="2"/>
    <x v="26"/>
    <s v="CUST0128"/>
    <x v="0"/>
    <n v="1"/>
    <n v="460"/>
    <n v="15"/>
    <n v="391"/>
    <n v="254.15"/>
    <n v="136.85"/>
  </r>
  <r>
    <s v="ORD0378"/>
    <x v="242"/>
    <x v="2"/>
    <s v="Nashik"/>
    <x v="0"/>
    <x v="15"/>
    <s v="CUST0144"/>
    <x v="0"/>
    <n v="4"/>
    <n v="130"/>
    <n v="10"/>
    <n v="468"/>
    <n v="304.2"/>
    <n v="163.80000000000001"/>
  </r>
  <r>
    <s v="ORD0381"/>
    <x v="242"/>
    <x v="1"/>
    <s v="Aurangabad"/>
    <x v="3"/>
    <x v="25"/>
    <s v="CUST0191"/>
    <x v="1"/>
    <n v="1"/>
    <n v="1390"/>
    <n v="5"/>
    <n v="1320.5"/>
    <n v="858.32500000000005"/>
    <n v="462.17499999999995"/>
  </r>
  <r>
    <s v="ORD0234"/>
    <x v="243"/>
    <x v="1"/>
    <s v="Aurangabad"/>
    <x v="2"/>
    <x v="3"/>
    <s v="CUST0120"/>
    <x v="1"/>
    <n v="3"/>
    <n v="270"/>
    <n v="5"/>
    <n v="769.5"/>
    <n v="500.17500000000001"/>
    <n v="269.32499999999999"/>
  </r>
  <r>
    <s v="ORD0247"/>
    <x v="243"/>
    <x v="2"/>
    <s v="Nashik"/>
    <x v="0"/>
    <x v="28"/>
    <s v="CUST0097"/>
    <x v="0"/>
    <n v="2"/>
    <n v="100"/>
    <n v="15"/>
    <n v="170"/>
    <n v="110.5"/>
    <n v="59.5"/>
  </r>
  <r>
    <s v="ORD0267"/>
    <x v="243"/>
    <x v="0"/>
    <s v="Mumbai"/>
    <x v="3"/>
    <x v="5"/>
    <s v="CUST0172"/>
    <x v="1"/>
    <n v="1"/>
    <n v="3810"/>
    <n v="0"/>
    <n v="3810"/>
    <n v="2476.5"/>
    <n v="1333.5"/>
  </r>
  <r>
    <s v="ORD0330"/>
    <x v="243"/>
    <x v="4"/>
    <s v="Pune"/>
    <x v="3"/>
    <x v="23"/>
    <s v="CUST0043"/>
    <x v="0"/>
    <n v="3"/>
    <n v="1940"/>
    <n v="15"/>
    <n v="4947"/>
    <n v="3215.55"/>
    <n v="1731.4499999999998"/>
  </r>
  <r>
    <s v="ORD0482"/>
    <x v="243"/>
    <x v="1"/>
    <s v="Aurangabad"/>
    <x v="3"/>
    <x v="23"/>
    <s v="CUST0019"/>
    <x v="0"/>
    <n v="2"/>
    <n v="1980"/>
    <n v="10"/>
    <n v="3564"/>
    <n v="2316.6"/>
    <n v="1247.4000000000001"/>
  </r>
  <r>
    <s v="ORD0449"/>
    <x v="244"/>
    <x v="4"/>
    <s v="Pune"/>
    <x v="2"/>
    <x v="9"/>
    <s v="CUST0020"/>
    <x v="2"/>
    <n v="1"/>
    <n v="970"/>
    <n v="15"/>
    <n v="824.5"/>
    <n v="535.92500000000007"/>
    <n v="288.57499999999993"/>
  </r>
  <r>
    <s v="ORD0493"/>
    <x v="245"/>
    <x v="1"/>
    <s v="Aurangabad"/>
    <x v="3"/>
    <x v="27"/>
    <s v="CUST0036"/>
    <x v="2"/>
    <n v="1"/>
    <n v="370"/>
    <n v="20"/>
    <n v="296"/>
    <n v="192.4"/>
    <n v="103.6"/>
  </r>
  <r>
    <s v="ORD0162"/>
    <x v="246"/>
    <x v="3"/>
    <s v="Nagpur"/>
    <x v="3"/>
    <x v="29"/>
    <s v="CUST0174"/>
    <x v="0"/>
    <n v="1"/>
    <n v="600"/>
    <n v="15"/>
    <n v="510"/>
    <n v="331.5"/>
    <n v="178.5"/>
  </r>
  <r>
    <s v="ORD0416"/>
    <x v="246"/>
    <x v="1"/>
    <s v="Aurangabad"/>
    <x v="0"/>
    <x v="30"/>
    <s v="CUST0124"/>
    <x v="1"/>
    <n v="5"/>
    <n v="90"/>
    <n v="10"/>
    <n v="405"/>
    <n v="263.25"/>
    <n v="141.75"/>
  </r>
  <r>
    <s v="ORD0475"/>
    <x v="247"/>
    <x v="0"/>
    <s v="Mumbai"/>
    <x v="3"/>
    <x v="29"/>
    <s v="CUST0165"/>
    <x v="0"/>
    <n v="2"/>
    <n v="640"/>
    <n v="5"/>
    <n v="1216"/>
    <n v="790.4"/>
    <n v="425.6"/>
  </r>
  <r>
    <s v="ORD0212"/>
    <x v="248"/>
    <x v="2"/>
    <s v="Nashik"/>
    <x v="0"/>
    <x v="31"/>
    <s v="CUST0111"/>
    <x v="1"/>
    <n v="1"/>
    <n v="370"/>
    <n v="5"/>
    <n v="351.5"/>
    <n v="228.47499999999999"/>
    <n v="123.02500000000001"/>
  </r>
  <r>
    <s v="ORD0273"/>
    <x v="248"/>
    <x v="0"/>
    <s v="Mumbai"/>
    <x v="3"/>
    <x v="6"/>
    <s v="CUST0142"/>
    <x v="0"/>
    <n v="2"/>
    <n v="970"/>
    <n v="15"/>
    <n v="1649"/>
    <n v="1071.8500000000001"/>
    <n v="577.14999999999986"/>
  </r>
  <r>
    <s v="ORD0387"/>
    <x v="248"/>
    <x v="4"/>
    <s v="Pune"/>
    <x v="2"/>
    <x v="3"/>
    <s v="CUST0085"/>
    <x v="1"/>
    <n v="1"/>
    <n v="230"/>
    <n v="10"/>
    <n v="207"/>
    <n v="134.55000000000001"/>
    <n v="72.449999999999989"/>
  </r>
  <r>
    <s v="ORD0097"/>
    <x v="249"/>
    <x v="1"/>
    <s v="Aurangabad"/>
    <x v="2"/>
    <x v="7"/>
    <s v="CUST0133"/>
    <x v="0"/>
    <n v="3"/>
    <n v="270"/>
    <n v="15"/>
    <n v="688.5"/>
    <n v="447.52500000000003"/>
    <n v="240.97499999999997"/>
  </r>
  <r>
    <s v="ORD0023"/>
    <x v="250"/>
    <x v="2"/>
    <s v="Nashik"/>
    <x v="0"/>
    <x v="28"/>
    <s v="CUST0187"/>
    <x v="1"/>
    <n v="2"/>
    <n v="100"/>
    <n v="10"/>
    <n v="180"/>
    <n v="117"/>
    <n v="63"/>
  </r>
  <r>
    <s v="ORD0103"/>
    <x v="250"/>
    <x v="2"/>
    <s v="Nashik"/>
    <x v="1"/>
    <x v="11"/>
    <s v="CUST0089"/>
    <x v="0"/>
    <n v="3"/>
    <n v="1510"/>
    <n v="10"/>
    <n v="4077"/>
    <n v="2650.05"/>
    <n v="1426.9499999999998"/>
  </r>
  <r>
    <s v="ORD0442"/>
    <x v="251"/>
    <x v="4"/>
    <s v="Pune"/>
    <x v="0"/>
    <x v="18"/>
    <s v="CUST0160"/>
    <x v="1"/>
    <n v="3"/>
    <n v="210"/>
    <n v="5"/>
    <n v="598.5"/>
    <n v="389.02500000000003"/>
    <n v="209.47499999999997"/>
  </r>
  <r>
    <s v="ORD0474"/>
    <x v="251"/>
    <x v="3"/>
    <s v="Nagpur"/>
    <x v="0"/>
    <x v="18"/>
    <s v="CUST0193"/>
    <x v="0"/>
    <n v="2"/>
    <n v="190"/>
    <n v="15"/>
    <n v="323"/>
    <n v="209.95000000000002"/>
    <n v="113.04999999999998"/>
  </r>
  <r>
    <s v="ORD0497"/>
    <x v="251"/>
    <x v="4"/>
    <s v="Pune"/>
    <x v="1"/>
    <x v="13"/>
    <s v="CUST0046"/>
    <x v="0"/>
    <n v="2"/>
    <n v="890"/>
    <n v="5"/>
    <n v="1691"/>
    <n v="1099.1500000000001"/>
    <n v="591.84999999999991"/>
  </r>
  <r>
    <s v="ORD0049"/>
    <x v="252"/>
    <x v="2"/>
    <s v="Nashik"/>
    <x v="1"/>
    <x v="16"/>
    <s v="CUST0001"/>
    <x v="0"/>
    <n v="1"/>
    <n v="590"/>
    <n v="15"/>
    <n v="501.5"/>
    <n v="325.97500000000002"/>
    <n v="175.52499999999998"/>
  </r>
  <r>
    <s v="ORD0180"/>
    <x v="252"/>
    <x v="0"/>
    <s v="Mumbai"/>
    <x v="0"/>
    <x v="22"/>
    <s v="CUST0140"/>
    <x v="0"/>
    <n v="5"/>
    <n v="160"/>
    <n v="15"/>
    <n v="680"/>
    <n v="442"/>
    <n v="238"/>
  </r>
  <r>
    <s v="ORD0269"/>
    <x v="253"/>
    <x v="1"/>
    <s v="Aurangabad"/>
    <x v="2"/>
    <x v="9"/>
    <s v="CUST0137"/>
    <x v="0"/>
    <n v="1"/>
    <n v="810"/>
    <n v="15"/>
    <n v="688.5"/>
    <n v="447.52500000000003"/>
    <n v="240.97499999999997"/>
  </r>
  <r>
    <s v="ORD0067"/>
    <x v="254"/>
    <x v="0"/>
    <s v="Mumbai"/>
    <x v="1"/>
    <x v="11"/>
    <s v="CUST0197"/>
    <x v="0"/>
    <n v="2"/>
    <n v="1560"/>
    <n v="15"/>
    <n v="2652"/>
    <n v="1723.8"/>
    <n v="928.2"/>
  </r>
  <r>
    <s v="ORD0499"/>
    <x v="254"/>
    <x v="4"/>
    <s v="Pune"/>
    <x v="0"/>
    <x v="28"/>
    <s v="CUST0117"/>
    <x v="2"/>
    <n v="1"/>
    <n v="100"/>
    <n v="20"/>
    <n v="80"/>
    <n v="52"/>
    <n v="28"/>
  </r>
  <r>
    <s v="ORD0165"/>
    <x v="255"/>
    <x v="1"/>
    <s v="Aurangabad"/>
    <x v="3"/>
    <x v="6"/>
    <s v="CUST0005"/>
    <x v="0"/>
    <n v="1"/>
    <n v="1000"/>
    <n v="5"/>
    <n v="950"/>
    <n v="617.5"/>
    <n v="332.5"/>
  </r>
  <r>
    <s v="ORD0420"/>
    <x v="255"/>
    <x v="3"/>
    <s v="Nagpur"/>
    <x v="0"/>
    <x v="15"/>
    <s v="CUST0143"/>
    <x v="1"/>
    <n v="1"/>
    <n v="140"/>
    <n v="0"/>
    <n v="140"/>
    <n v="91"/>
    <n v="49"/>
  </r>
  <r>
    <s v="ORD0465"/>
    <x v="255"/>
    <x v="0"/>
    <s v="Mumbai"/>
    <x v="1"/>
    <x v="16"/>
    <s v="CUST0042"/>
    <x v="2"/>
    <n v="2"/>
    <n v="630"/>
    <n v="10"/>
    <n v="1134"/>
    <n v="737.1"/>
    <n v="396.9"/>
  </r>
  <r>
    <s v="ORD0122"/>
    <x v="256"/>
    <x v="3"/>
    <s v="Nagpur"/>
    <x v="2"/>
    <x v="20"/>
    <s v="CUST0060"/>
    <x v="0"/>
    <n v="2"/>
    <n v="410"/>
    <n v="15"/>
    <n v="697"/>
    <n v="453.05"/>
    <n v="243.95"/>
  </r>
  <r>
    <s v="ORD0307"/>
    <x v="256"/>
    <x v="3"/>
    <s v="Nagpur"/>
    <x v="3"/>
    <x v="14"/>
    <s v="CUST0062"/>
    <x v="0"/>
    <n v="1"/>
    <n v="1250"/>
    <n v="15"/>
    <n v="1062.5"/>
    <n v="690.625"/>
    <n v="371.875"/>
  </r>
  <r>
    <s v="ORD0224"/>
    <x v="257"/>
    <x v="3"/>
    <s v="Nagpur"/>
    <x v="2"/>
    <x v="19"/>
    <s v="CUST0072"/>
    <x v="0"/>
    <n v="1"/>
    <n v="1420"/>
    <n v="10"/>
    <n v="1278"/>
    <n v="830.7"/>
    <n v="447.29999999999995"/>
  </r>
  <r>
    <s v="ORD0441"/>
    <x v="257"/>
    <x v="3"/>
    <s v="Nagpur"/>
    <x v="2"/>
    <x v="26"/>
    <s v="CUST0195"/>
    <x v="2"/>
    <n v="1"/>
    <n v="460"/>
    <n v="10"/>
    <n v="414"/>
    <n v="269.10000000000002"/>
    <n v="144.89999999999998"/>
  </r>
  <r>
    <s v="ORD0485"/>
    <x v="257"/>
    <x v="3"/>
    <s v="Nagpur"/>
    <x v="3"/>
    <x v="14"/>
    <s v="CUST0002"/>
    <x v="0"/>
    <n v="1"/>
    <n v="1200"/>
    <n v="15"/>
    <n v="1020"/>
    <n v="663"/>
    <n v="357"/>
  </r>
  <r>
    <s v="ORD0062"/>
    <x v="258"/>
    <x v="2"/>
    <s v="Nashik"/>
    <x v="1"/>
    <x v="11"/>
    <s v="CUST0160"/>
    <x v="0"/>
    <n v="4"/>
    <n v="1620"/>
    <n v="15"/>
    <n v="5508"/>
    <n v="3580.2000000000003"/>
    <n v="1927.7999999999997"/>
  </r>
  <r>
    <s v="ORD0318"/>
    <x v="258"/>
    <x v="0"/>
    <s v="Mumbai"/>
    <x v="1"/>
    <x v="1"/>
    <s v="CUST0071"/>
    <x v="2"/>
    <n v="1"/>
    <n v="810"/>
    <n v="10"/>
    <n v="729"/>
    <n v="473.85"/>
    <n v="255.14999999999998"/>
  </r>
  <r>
    <s v="ORD0492"/>
    <x v="258"/>
    <x v="3"/>
    <s v="Nagpur"/>
    <x v="2"/>
    <x v="9"/>
    <s v="CUST0199"/>
    <x v="0"/>
    <n v="2"/>
    <n v="890"/>
    <n v="5"/>
    <n v="1691"/>
    <n v="1099.1500000000001"/>
    <n v="591.84999999999991"/>
  </r>
  <r>
    <s v="ORD0014"/>
    <x v="259"/>
    <x v="0"/>
    <s v="Mumbai"/>
    <x v="0"/>
    <x v="18"/>
    <s v="CUST0112"/>
    <x v="1"/>
    <n v="1"/>
    <n v="180"/>
    <n v="10"/>
    <n v="162"/>
    <n v="105.3"/>
    <n v="56.7"/>
  </r>
  <r>
    <s v="ORD0221"/>
    <x v="259"/>
    <x v="4"/>
    <s v="Pune"/>
    <x v="3"/>
    <x v="5"/>
    <s v="CUST0113"/>
    <x v="0"/>
    <n v="1"/>
    <n v="3280"/>
    <n v="15"/>
    <n v="2788"/>
    <n v="1812.2"/>
    <n v="975.8"/>
  </r>
  <r>
    <s v="ORD0340"/>
    <x v="259"/>
    <x v="0"/>
    <s v="Mumbai"/>
    <x v="0"/>
    <x v="28"/>
    <s v="CUST0062"/>
    <x v="1"/>
    <n v="1"/>
    <n v="100"/>
    <n v="5"/>
    <n v="95"/>
    <n v="61.75"/>
    <n v="33.25"/>
  </r>
  <r>
    <s v="ORD0409"/>
    <x v="259"/>
    <x v="0"/>
    <s v="Mumbai"/>
    <x v="1"/>
    <x v="8"/>
    <s v="CUST0115"/>
    <x v="1"/>
    <n v="4"/>
    <n v="350"/>
    <n v="10"/>
    <n v="1260"/>
    <n v="819"/>
    <n v="441"/>
  </r>
  <r>
    <s v="ORD0476"/>
    <x v="260"/>
    <x v="3"/>
    <s v="Nagpur"/>
    <x v="2"/>
    <x v="26"/>
    <s v="CUST0139"/>
    <x v="0"/>
    <n v="1"/>
    <n v="490"/>
    <n v="15"/>
    <n v="416.5"/>
    <n v="270.72500000000002"/>
    <n v="145.77499999999998"/>
  </r>
  <r>
    <s v="ORD0183"/>
    <x v="261"/>
    <x v="2"/>
    <s v="Nashik"/>
    <x v="2"/>
    <x v="3"/>
    <s v="CUST0017"/>
    <x v="0"/>
    <n v="4"/>
    <n v="260"/>
    <n v="5"/>
    <n v="988"/>
    <n v="642.20000000000005"/>
    <n v="345.79999999999995"/>
  </r>
  <r>
    <s v="ORD0404"/>
    <x v="261"/>
    <x v="0"/>
    <s v="Mumbai"/>
    <x v="1"/>
    <x v="13"/>
    <s v="CUST0191"/>
    <x v="0"/>
    <n v="3"/>
    <n v="860"/>
    <n v="10"/>
    <n v="2322"/>
    <n v="1509.3"/>
    <n v="812.7"/>
  </r>
  <r>
    <s v="ORD0483"/>
    <x v="262"/>
    <x v="3"/>
    <s v="Nagpur"/>
    <x v="3"/>
    <x v="27"/>
    <s v="CUST0113"/>
    <x v="0"/>
    <n v="3"/>
    <n v="370"/>
    <n v="5"/>
    <n v="1054.5"/>
    <n v="685.42500000000007"/>
    <n v="369.07499999999993"/>
  </r>
  <r>
    <s v="ORD0019"/>
    <x v="263"/>
    <x v="4"/>
    <s v="Pune"/>
    <x v="0"/>
    <x v="28"/>
    <s v="CUST0167"/>
    <x v="0"/>
    <n v="4"/>
    <n v="110"/>
    <n v="10"/>
    <n v="396"/>
    <n v="257.40000000000003"/>
    <n v="138.59999999999997"/>
  </r>
  <r>
    <s v="ORD0076"/>
    <x v="263"/>
    <x v="2"/>
    <s v="Nashik"/>
    <x v="2"/>
    <x v="9"/>
    <s v="CUST0024"/>
    <x v="1"/>
    <n v="2"/>
    <n v="950"/>
    <n v="0"/>
    <n v="1900"/>
    <n v="1235"/>
    <n v="665"/>
  </r>
  <r>
    <s v="ORD0114"/>
    <x v="263"/>
    <x v="3"/>
    <s v="Nagpur"/>
    <x v="2"/>
    <x v="17"/>
    <s v="CUST0099"/>
    <x v="2"/>
    <n v="1"/>
    <n v="370"/>
    <n v="15"/>
    <n v="314.5"/>
    <n v="204.42500000000001"/>
    <n v="110.07499999999999"/>
  </r>
  <r>
    <s v="ORD0293"/>
    <x v="264"/>
    <x v="0"/>
    <s v="Mumbai"/>
    <x v="2"/>
    <x v="9"/>
    <s v="CUST0078"/>
    <x v="1"/>
    <n v="2"/>
    <n v="830"/>
    <n v="10"/>
    <n v="1494"/>
    <n v="971.1"/>
    <n v="522.9"/>
  </r>
  <r>
    <s v="ORD0321"/>
    <x v="265"/>
    <x v="3"/>
    <s v="Nagpur"/>
    <x v="2"/>
    <x v="9"/>
    <s v="CUST0001"/>
    <x v="2"/>
    <n v="3"/>
    <n v="870"/>
    <n v="10"/>
    <n v="2349"/>
    <n v="1526.8500000000001"/>
    <n v="822.14999999999986"/>
  </r>
  <r>
    <s v="ORD0352"/>
    <x v="265"/>
    <x v="0"/>
    <s v="Mumbai"/>
    <x v="0"/>
    <x v="31"/>
    <s v="CUST0097"/>
    <x v="2"/>
    <n v="3"/>
    <n v="370"/>
    <n v="10"/>
    <n v="999"/>
    <n v="649.35"/>
    <n v="349.65"/>
  </r>
  <r>
    <s v="ORD0301"/>
    <x v="266"/>
    <x v="2"/>
    <s v="Nashik"/>
    <x v="0"/>
    <x v="22"/>
    <s v="CUST0182"/>
    <x v="1"/>
    <n v="3"/>
    <n v="140"/>
    <n v="10"/>
    <n v="378"/>
    <n v="245.70000000000002"/>
    <n v="132.29999999999998"/>
  </r>
  <r>
    <s v="ORD0360"/>
    <x v="266"/>
    <x v="1"/>
    <s v="Aurangabad"/>
    <x v="3"/>
    <x v="21"/>
    <s v="CUST0084"/>
    <x v="1"/>
    <n v="3"/>
    <n v="850"/>
    <n v="5"/>
    <n v="2422.5"/>
    <n v="1574.625"/>
    <n v="847.875"/>
  </r>
  <r>
    <s v="ORD0004"/>
    <x v="267"/>
    <x v="2"/>
    <s v="Nashik"/>
    <x v="0"/>
    <x v="30"/>
    <s v="CUST0196"/>
    <x v="0"/>
    <n v="1"/>
    <n v="80"/>
    <n v="5"/>
    <n v="76"/>
    <n v="49.4"/>
    <n v="26.6"/>
  </r>
  <r>
    <s v="ORD0164"/>
    <x v="267"/>
    <x v="2"/>
    <s v="Nashik"/>
    <x v="1"/>
    <x v="12"/>
    <s v="CUST0097"/>
    <x v="0"/>
    <n v="1"/>
    <n v="670"/>
    <n v="5"/>
    <n v="636.5"/>
    <n v="413.72500000000002"/>
    <n v="222.77499999999998"/>
  </r>
  <r>
    <s v="ORD0373"/>
    <x v="267"/>
    <x v="3"/>
    <s v="Nagpur"/>
    <x v="3"/>
    <x v="29"/>
    <s v="CUST0145"/>
    <x v="1"/>
    <n v="4"/>
    <n v="710"/>
    <n v="5"/>
    <n v="2698"/>
    <n v="1753.7"/>
    <n v="944.3"/>
  </r>
  <r>
    <s v="ORD0380"/>
    <x v="268"/>
    <x v="1"/>
    <s v="Aurangabad"/>
    <x v="2"/>
    <x v="10"/>
    <s v="CUST0082"/>
    <x v="2"/>
    <n v="5"/>
    <n v="650"/>
    <n v="10"/>
    <n v="2925"/>
    <n v="1901.25"/>
    <n v="1023.75"/>
  </r>
  <r>
    <s v="ORD0252"/>
    <x v="269"/>
    <x v="0"/>
    <s v="Mumbai"/>
    <x v="1"/>
    <x v="24"/>
    <s v="CUST0060"/>
    <x v="0"/>
    <n v="3"/>
    <n v="490"/>
    <n v="5"/>
    <n v="1396.5"/>
    <n v="907.72500000000002"/>
    <n v="488.77499999999998"/>
  </r>
  <r>
    <s v="ORD0377"/>
    <x v="269"/>
    <x v="2"/>
    <s v="Nashik"/>
    <x v="3"/>
    <x v="29"/>
    <s v="CUST0035"/>
    <x v="2"/>
    <n v="3"/>
    <n v="620"/>
    <n v="15"/>
    <n v="1581"/>
    <n v="1027.6500000000001"/>
    <n v="553.34999999999991"/>
  </r>
  <r>
    <s v="ORD0197"/>
    <x v="270"/>
    <x v="4"/>
    <s v="Pune"/>
    <x v="0"/>
    <x v="2"/>
    <s v="CUST0052"/>
    <x v="2"/>
    <n v="1"/>
    <n v="230"/>
    <n v="15"/>
    <n v="195.5"/>
    <n v="127.075"/>
    <n v="68.424999999999997"/>
  </r>
  <r>
    <s v="ORD0464"/>
    <x v="270"/>
    <x v="2"/>
    <s v="Nashik"/>
    <x v="0"/>
    <x v="28"/>
    <s v="CUST0134"/>
    <x v="1"/>
    <n v="1"/>
    <n v="110"/>
    <n v="0"/>
    <n v="110"/>
    <n v="71.5"/>
    <n v="38.5"/>
  </r>
  <r>
    <s v="ORD0172"/>
    <x v="271"/>
    <x v="1"/>
    <s v="Aurangabad"/>
    <x v="3"/>
    <x v="27"/>
    <s v="CUST0042"/>
    <x v="1"/>
    <n v="4"/>
    <n v="320"/>
    <n v="0"/>
    <n v="1280"/>
    <n v="832"/>
    <n v="448"/>
  </r>
  <r>
    <s v="ORD0277"/>
    <x v="271"/>
    <x v="2"/>
    <s v="Nashik"/>
    <x v="3"/>
    <x v="27"/>
    <s v="CUST0062"/>
    <x v="0"/>
    <n v="3"/>
    <n v="330"/>
    <n v="15"/>
    <n v="841.5"/>
    <n v="546.97500000000002"/>
    <n v="294.52499999999998"/>
  </r>
  <r>
    <s v="ORD0227"/>
    <x v="272"/>
    <x v="0"/>
    <s v="Mumbai"/>
    <x v="0"/>
    <x v="0"/>
    <s v="CUST0192"/>
    <x v="0"/>
    <n v="1"/>
    <n v="310"/>
    <n v="15"/>
    <n v="263.5"/>
    <n v="171.27500000000001"/>
    <n v="92.2249999999999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E154D9-6F4C-4C43-A45F-0945C61B3B58}" name="PT_Catego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9:D22" firstHeaderRow="0" firstDataRow="1" firstDataCol="1"/>
  <pivotFields count="16">
    <pivotField showAll="0"/>
    <pivotField numFmtId="164" showAll="0">
      <items count="2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showAll="0">
      <items count="6">
        <item x="1"/>
        <item x="0"/>
        <item x="3"/>
        <item x="2"/>
        <item x="4"/>
        <item t="default"/>
      </items>
    </pivotField>
    <pivotField showAll="0"/>
    <pivotField axis="axisRow" showAll="0">
      <items count="5">
        <item x="1"/>
        <item h="1" x="3"/>
        <item x="0"/>
        <item x="2"/>
        <item t="default"/>
      </items>
    </pivotField>
    <pivotField showAll="0"/>
    <pivotField showAll="0"/>
    <pivotField showAll="0"/>
    <pivotField dataField="1" showAll="0"/>
    <pivotField showAll="0"/>
    <pivotField showAll="0"/>
    <pivotField dataField="1" numFmtId="165" showAll="0"/>
    <pivotField numFmtId="165" showAll="0"/>
    <pivotField dataField="1" numFmtId="165"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3">
    <i>
      <x/>
    </i>
    <i>
      <x v="2"/>
    </i>
    <i>
      <x v="3"/>
    </i>
  </rowItems>
  <colFields count="1">
    <field x="-2"/>
  </colFields>
  <colItems count="3">
    <i>
      <x/>
    </i>
    <i i="1">
      <x v="1"/>
    </i>
    <i i="2">
      <x v="2"/>
    </i>
  </colItems>
  <dataFields count="3">
    <dataField name="Sum of Revenue" fld="11" baseField="0" baseItem="0" numFmtId="165"/>
    <dataField name="Sum of Profit" fld="13" baseField="0" baseItem="0" numFmtId="165"/>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96C58E-DAA6-4E0E-B7B3-2B697F2FA2A4}" name="PT_Stor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F3:H8" firstHeaderRow="0" firstDataRow="1" firstDataCol="1"/>
  <pivotFields count="16">
    <pivotField showAll="0"/>
    <pivotField numFmtId="164" showAll="0">
      <items count="2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axis="axisRow" showAll="0">
      <items count="6">
        <item x="1"/>
        <item x="0"/>
        <item x="3"/>
        <item x="2"/>
        <item x="4"/>
        <item t="default"/>
      </items>
    </pivotField>
    <pivotField showAll="0"/>
    <pivotField showAll="0">
      <items count="5">
        <item x="1"/>
        <item h="1" x="3"/>
        <item x="0"/>
        <item x="2"/>
        <item t="default"/>
      </items>
    </pivotField>
    <pivotField showAll="0"/>
    <pivotField showAll="0"/>
    <pivotField showAll="0"/>
    <pivotField showAll="0"/>
    <pivotField showAll="0"/>
    <pivotField showAll="0"/>
    <pivotField dataField="1" numFmtId="165" showAll="0"/>
    <pivotField numFmtId="165" showAll="0"/>
    <pivotField dataField="1" numFmtId="165"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x v="4"/>
    </i>
  </rowItems>
  <colFields count="1">
    <field x="-2"/>
  </colFields>
  <colItems count="2">
    <i>
      <x/>
    </i>
    <i i="1">
      <x v="1"/>
    </i>
  </colItems>
  <dataFields count="2">
    <dataField name="Sum of Revenue" fld="11" baseField="0" baseItem="0" numFmtId="165"/>
    <dataField name="Sum of Profit" fld="1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05A110-87FF-4838-8209-4BD34B9FC9AB}" name="PT_Monthl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6" firstHeaderRow="0" firstDataRow="1" firstDataCol="1"/>
  <pivotFields count="16">
    <pivotField showAll="0"/>
    <pivotField axis="axisRow" numFmtId="164" showAll="0">
      <items count="2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showAll="0">
      <items count="6">
        <item x="1"/>
        <item x="0"/>
        <item x="3"/>
        <item x="2"/>
        <item x="4"/>
        <item t="default"/>
      </items>
    </pivotField>
    <pivotField showAll="0"/>
    <pivotField showAll="0">
      <items count="5">
        <item x="1"/>
        <item h="1" x="3"/>
        <item x="0"/>
        <item x="2"/>
        <item t="default"/>
      </items>
    </pivotField>
    <pivotField showAll="0"/>
    <pivotField showAll="0"/>
    <pivotField showAll="0"/>
    <pivotField dataField="1" showAll="0"/>
    <pivotField showAll="0"/>
    <pivotField showAll="0"/>
    <pivotField dataField="1" numFmtId="165" showAll="0"/>
    <pivotField numFmtId="165" showAll="0"/>
    <pivotField dataField="1" numFmtId="165"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5"/>
    <field x="14"/>
    <field x="1"/>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Revenue" fld="11" baseField="0" baseItem="0" numFmtId="165"/>
    <dataField name="Sum of Profit" fld="13" baseField="0" baseItem="0" numFmtId="165"/>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697EA2-A2BB-4250-9C3A-EA35EC02EB46}" name="PT_Customer"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2:C35" firstHeaderRow="0" firstDataRow="1" firstDataCol="1"/>
  <pivotFields count="16">
    <pivotField showAll="0"/>
    <pivotField numFmtId="164" showAll="0">
      <items count="2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showAll="0">
      <items count="6">
        <item x="1"/>
        <item x="0"/>
        <item x="3"/>
        <item x="2"/>
        <item x="4"/>
        <item t="default"/>
      </items>
    </pivotField>
    <pivotField showAll="0"/>
    <pivotField showAll="0">
      <items count="5">
        <item x="1"/>
        <item h="1" x="3"/>
        <item x="0"/>
        <item x="2"/>
        <item t="default"/>
      </items>
    </pivotField>
    <pivotField showAll="0"/>
    <pivotField showAll="0"/>
    <pivotField axis="axisRow" showAll="0">
      <items count="4">
        <item x="2"/>
        <item x="1"/>
        <item x="0"/>
        <item t="default"/>
      </items>
    </pivotField>
    <pivotField dataField="1" showAll="0"/>
    <pivotField showAll="0"/>
    <pivotField showAll="0"/>
    <pivotField dataField="1" numFmtId="165" showAll="0"/>
    <pivotField numFmtId="165" showAll="0"/>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3">
    <i>
      <x/>
    </i>
    <i>
      <x v="1"/>
    </i>
    <i>
      <x v="2"/>
    </i>
  </rowItems>
  <colFields count="1">
    <field x="-2"/>
  </colFields>
  <colItems count="2">
    <i>
      <x/>
    </i>
    <i i="1">
      <x v="1"/>
    </i>
  </colItems>
  <dataFields count="2">
    <dataField name="Sum of Revenue" fld="11" baseField="0" baseItem="0" numFmtId="165"/>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BC37C0-A1D3-4074-AAA9-66231B868FF2}" name="PT_TopProduct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F19:G29" firstHeaderRow="1" firstDataRow="1" firstDataCol="1"/>
  <pivotFields count="16">
    <pivotField showAll="0"/>
    <pivotField numFmtId="164" showAll="0">
      <items count="2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showAll="0">
      <items count="6">
        <item x="1"/>
        <item x="0"/>
        <item x="3"/>
        <item x="2"/>
        <item x="4"/>
        <item t="default"/>
      </items>
    </pivotField>
    <pivotField showAll="0"/>
    <pivotField showAll="0">
      <items count="5">
        <item x="1"/>
        <item h="1" x="3"/>
        <item x="0"/>
        <item x="2"/>
        <item t="default"/>
      </items>
    </pivotField>
    <pivotField axis="axisRow" showAll="0" measureFilter="1" sortType="ascending">
      <items count="33">
        <item x="2"/>
        <item x="31"/>
        <item x="30"/>
        <item x="14"/>
        <item x="3"/>
        <item x="4"/>
        <item x="19"/>
        <item x="1"/>
        <item x="18"/>
        <item x="28"/>
        <item x="13"/>
        <item x="16"/>
        <item x="29"/>
        <item x="24"/>
        <item x="0"/>
        <item x="20"/>
        <item x="10"/>
        <item x="27"/>
        <item x="6"/>
        <item x="9"/>
        <item x="5"/>
        <item x="8"/>
        <item x="26"/>
        <item x="17"/>
        <item x="15"/>
        <item x="22"/>
        <item x="21"/>
        <item x="7"/>
        <item x="25"/>
        <item x="11"/>
        <item x="23"/>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numFmtId="165" showAll="0"/>
    <pivotField numFmtId="165" showAll="0"/>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10">
    <i>
      <x v="15"/>
    </i>
    <i>
      <x v="11"/>
    </i>
    <i>
      <x v="16"/>
    </i>
    <i>
      <x v="7"/>
    </i>
    <i>
      <x v="6"/>
    </i>
    <i>
      <x v="31"/>
    </i>
    <i>
      <x v="10"/>
    </i>
    <i>
      <x v="19"/>
    </i>
    <i>
      <x v="5"/>
    </i>
    <i>
      <x v="29"/>
    </i>
  </rowItems>
  <colItems count="1">
    <i/>
  </colItems>
  <dataFields count="1">
    <dataField name="Sum of Revenue" fld="11" baseField="0" baseItem="0" numFmtId="165"/>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4F7BC36-187C-4999-B271-D9808613A232}" sourceName="Category">
  <pivotTables>
    <pivotTable tabId="3" name="PT_Monthly"/>
    <pivotTable tabId="3" name="PT_Category"/>
    <pivotTable tabId="3" name="PT_Customer"/>
    <pivotTable tabId="3" name="PT_Store"/>
    <pivotTable tabId="3" name="PT_TopProducts"/>
  </pivotTables>
  <data>
    <tabular pivotCacheId="816374456">
      <items count="4">
        <i x="1" s="1"/>
        <i x="3"/>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0E0BC9F2-927A-4BD2-B4D5-9DAE01EADF84}" sourceName="Store_Name">
  <pivotTables>
    <pivotTable tabId="3" name="PT_Monthly"/>
    <pivotTable tabId="3" name="PT_Category"/>
    <pivotTable tabId="3" name="PT_Customer"/>
    <pivotTable tabId="3" name="PT_Store"/>
    <pivotTable tabId="3" name="PT_TopProducts"/>
  </pivotTables>
  <data>
    <tabular pivotCacheId="816374456">
      <items count="5">
        <i x="1" s="1"/>
        <i x="0"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3285E51-D239-4F49-98D7-2DE1D22EB5A6}" cache="Slicer_Category" caption="Category" columnCount="2" style="SlicerStyleDark6" rowHeight="234950"/>
  <slicer name="Store_Name" xr10:uid="{C8923E13-AF6D-4A11-8BAF-A72B245A8740}" cache="Slicer_Store_Name" caption="Store_Name" columnCount="3" style="SlicerStyleDark1" rowHeight="23495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1F861-4A19-49B8-8B2F-4A428399393B}">
  <sheetPr>
    <tabColor rgb="FF002060"/>
  </sheetPr>
  <dimension ref="A1:N20"/>
  <sheetViews>
    <sheetView showGridLines="0" showRowColHeaders="0" workbookViewId="0">
      <pane ySplit="1" topLeftCell="A2" activePane="bottomLeft" state="frozen"/>
      <selection pane="bottomLeft" activeCell="A20" sqref="A20"/>
    </sheetView>
  </sheetViews>
  <sheetFormatPr defaultRowHeight="14.4"/>
  <sheetData>
    <row r="1" spans="1:14" ht="31.2">
      <c r="A1" s="111" t="s">
        <v>773</v>
      </c>
      <c r="B1" s="111"/>
      <c r="C1" s="111"/>
      <c r="D1" s="111"/>
      <c r="E1" s="111"/>
      <c r="F1" s="111"/>
      <c r="G1" s="111"/>
      <c r="H1" s="111"/>
      <c r="I1" s="111"/>
      <c r="J1" s="111"/>
      <c r="K1" s="111"/>
      <c r="L1" s="111"/>
      <c r="M1" s="111"/>
      <c r="N1" s="111"/>
    </row>
    <row r="2" spans="1:14" ht="15.6">
      <c r="A2" s="112" t="s">
        <v>853</v>
      </c>
      <c r="B2" s="112"/>
      <c r="C2" s="112"/>
      <c r="D2" s="112"/>
      <c r="E2" s="112"/>
      <c r="F2" s="112"/>
      <c r="G2" s="112"/>
      <c r="H2" s="112"/>
      <c r="I2" s="112"/>
      <c r="J2" s="112"/>
      <c r="K2" s="112"/>
      <c r="L2" s="112"/>
      <c r="M2" s="112"/>
      <c r="N2" s="112"/>
    </row>
    <row r="3" spans="1:14" ht="15">
      <c r="A3" s="113" t="s">
        <v>854</v>
      </c>
      <c r="B3" s="113"/>
      <c r="C3" s="113"/>
      <c r="D3" s="113"/>
      <c r="E3" s="113"/>
      <c r="F3" s="113"/>
      <c r="G3" s="113"/>
      <c r="H3" s="113"/>
      <c r="I3" s="113"/>
      <c r="J3" s="113"/>
      <c r="K3" s="113"/>
      <c r="L3" s="113"/>
      <c r="M3" s="113"/>
      <c r="N3" s="113"/>
    </row>
    <row r="19" spans="1:7">
      <c r="A19" s="119" t="s">
        <v>855</v>
      </c>
      <c r="B19" s="119"/>
      <c r="C19" s="119"/>
      <c r="D19" s="119"/>
      <c r="E19" s="119"/>
      <c r="F19" s="119"/>
      <c r="G19" s="119"/>
    </row>
    <row r="20" spans="1:7">
      <c r="A20" s="119"/>
      <c r="B20" s="119"/>
      <c r="C20" s="119"/>
      <c r="D20" s="119"/>
      <c r="E20" s="119"/>
      <c r="F20" s="119"/>
      <c r="G20" s="119"/>
    </row>
  </sheetData>
  <sheetProtection selectLockedCells="1"/>
  <mergeCells count="3">
    <mergeCell ref="A1:N1"/>
    <mergeCell ref="A2:N2"/>
    <mergeCell ref="A3:N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A2207-3558-41B5-A1AB-C3AC086A5BAA}">
  <sheetPr>
    <tabColor rgb="FFFFC000"/>
  </sheetPr>
  <dimension ref="A1:N27"/>
  <sheetViews>
    <sheetView showGridLines="0" showRowColHeaders="0" zoomScale="103" workbookViewId="0">
      <pane ySplit="1" topLeftCell="A25" activePane="bottomLeft" state="frozen"/>
      <selection activeCell="A20" sqref="A20"/>
      <selection pane="bottomLeft" activeCell="A20" sqref="A20"/>
    </sheetView>
  </sheetViews>
  <sheetFormatPr defaultRowHeight="14.4"/>
  <sheetData>
    <row r="1" spans="1:14" ht="23.4">
      <c r="A1" s="59" t="s">
        <v>781</v>
      </c>
      <c r="B1" s="60"/>
      <c r="C1" s="60"/>
      <c r="D1" s="60"/>
      <c r="E1" s="60"/>
      <c r="F1" s="60"/>
      <c r="G1" s="60"/>
      <c r="H1" s="60"/>
      <c r="I1" s="60"/>
      <c r="J1" s="60"/>
      <c r="K1" s="60"/>
      <c r="L1" s="60"/>
      <c r="M1" s="60"/>
      <c r="N1" s="60"/>
    </row>
    <row r="2" spans="1:14">
      <c r="A2" s="61" t="s">
        <v>782</v>
      </c>
      <c r="B2" s="62"/>
      <c r="C2" s="62"/>
      <c r="D2" s="62"/>
      <c r="E2" s="62"/>
      <c r="F2" s="62"/>
      <c r="G2" s="62"/>
      <c r="H2" s="62"/>
      <c r="I2" s="62"/>
      <c r="J2" s="62"/>
      <c r="K2" s="62"/>
      <c r="L2" s="62"/>
      <c r="M2" s="62"/>
      <c r="N2" s="62"/>
    </row>
    <row r="4" spans="1:14" ht="43.2">
      <c r="A4" s="34" t="s">
        <v>783</v>
      </c>
      <c r="B4" s="21" t="s">
        <v>11</v>
      </c>
      <c r="C4" s="21" t="s">
        <v>13</v>
      </c>
      <c r="D4" s="35" t="s">
        <v>784</v>
      </c>
    </row>
    <row r="5" spans="1:14">
      <c r="A5" s="22" t="str">
        <f>PIVOT_HUB!A4</f>
        <v>Jan</v>
      </c>
      <c r="B5">
        <f>PIVOT_HUB!B4</f>
        <v>36202.5</v>
      </c>
      <c r="C5">
        <f>PIVOT_HUB!C4</f>
        <v>12670.875</v>
      </c>
      <c r="D5" s="36"/>
    </row>
    <row r="6" spans="1:14">
      <c r="A6" s="22" t="str">
        <f>PIVOT_HUB!A5</f>
        <v>Feb</v>
      </c>
      <c r="B6">
        <f>PIVOT_HUB!B5</f>
        <v>39371</v>
      </c>
      <c r="C6">
        <f>PIVOT_HUB!C5</f>
        <v>13779.85</v>
      </c>
      <c r="D6" s="36">
        <f>(B6-B5)/B5</f>
        <v>8.7521580001381119E-2</v>
      </c>
    </row>
    <row r="7" spans="1:14">
      <c r="A7" s="22" t="str">
        <f>PIVOT_HUB!A6</f>
        <v>Mar</v>
      </c>
      <c r="B7">
        <f>PIVOT_HUB!B6</f>
        <v>31778</v>
      </c>
      <c r="C7">
        <f>PIVOT_HUB!C6</f>
        <v>11122.299999999996</v>
      </c>
      <c r="D7" s="36">
        <f t="shared" ref="D7:D16" si="0">(B7-B6)/B6</f>
        <v>-0.19285768713012116</v>
      </c>
    </row>
    <row r="8" spans="1:14">
      <c r="A8" s="22" t="str">
        <f>PIVOT_HUB!A7</f>
        <v>Apr</v>
      </c>
      <c r="B8">
        <f>PIVOT_HUB!B7</f>
        <v>28303.5</v>
      </c>
      <c r="C8">
        <f>PIVOT_HUB!C7</f>
        <v>9906.2250000000004</v>
      </c>
      <c r="D8" s="36">
        <f t="shared" si="0"/>
        <v>-0.10933664799546856</v>
      </c>
    </row>
    <row r="9" spans="1:14">
      <c r="A9" s="22" t="str">
        <f>PIVOT_HUB!A8</f>
        <v>May</v>
      </c>
      <c r="B9">
        <f>PIVOT_HUB!B8</f>
        <v>35009.5</v>
      </c>
      <c r="C9">
        <f>PIVOT_HUB!C8</f>
        <v>12253.324999999999</v>
      </c>
      <c r="D9" s="36">
        <f t="shared" si="0"/>
        <v>0.23693182821912484</v>
      </c>
    </row>
    <row r="10" spans="1:14">
      <c r="A10" s="22" t="str">
        <f>PIVOT_HUB!A9</f>
        <v>Jun</v>
      </c>
      <c r="B10">
        <f>PIVOT_HUB!B9</f>
        <v>36761</v>
      </c>
      <c r="C10">
        <f>PIVOT_HUB!C9</f>
        <v>12866.350000000002</v>
      </c>
      <c r="D10" s="36">
        <f t="shared" si="0"/>
        <v>5.0029277767463118E-2</v>
      </c>
    </row>
    <row r="11" spans="1:14">
      <c r="A11" s="22" t="str">
        <f>PIVOT_HUB!A10</f>
        <v>Jul</v>
      </c>
      <c r="B11">
        <f>PIVOT_HUB!B10</f>
        <v>22633</v>
      </c>
      <c r="C11">
        <f>PIVOT_HUB!C10</f>
        <v>7921.5499999999984</v>
      </c>
      <c r="D11" s="36">
        <f t="shared" si="0"/>
        <v>-0.3843203394902206</v>
      </c>
    </row>
    <row r="12" spans="1:14">
      <c r="A12" s="22" t="str">
        <f>PIVOT_HUB!A11</f>
        <v>Aug</v>
      </c>
      <c r="B12">
        <f>PIVOT_HUB!B11</f>
        <v>33438</v>
      </c>
      <c r="C12">
        <f>PIVOT_HUB!C11</f>
        <v>11703.300000000003</v>
      </c>
      <c r="D12" s="36">
        <f t="shared" si="0"/>
        <v>0.47740025626297883</v>
      </c>
    </row>
    <row r="13" spans="1:14">
      <c r="A13" s="22" t="str">
        <f>PIVOT_HUB!A12</f>
        <v>Sep</v>
      </c>
      <c r="B13">
        <f>PIVOT_HUB!B12</f>
        <v>32975.5</v>
      </c>
      <c r="C13">
        <f>PIVOT_HUB!C12</f>
        <v>11541.425000000003</v>
      </c>
      <c r="D13" s="36">
        <f t="shared" si="0"/>
        <v>-1.3831568873736468E-2</v>
      </c>
    </row>
    <row r="14" spans="1:14">
      <c r="A14" s="22" t="str">
        <f>PIVOT_HUB!A13</f>
        <v>Oct</v>
      </c>
      <c r="B14">
        <f>PIVOT_HUB!B13</f>
        <v>32505.5</v>
      </c>
      <c r="C14">
        <f>PIVOT_HUB!C13</f>
        <v>11376.924999999999</v>
      </c>
      <c r="D14" s="36">
        <f t="shared" si="0"/>
        <v>-1.4253006019620627E-2</v>
      </c>
    </row>
    <row r="15" spans="1:14">
      <c r="A15" s="22" t="str">
        <f>PIVOT_HUB!A14</f>
        <v>Nov</v>
      </c>
      <c r="B15">
        <f>PIVOT_HUB!B14</f>
        <v>16608.5</v>
      </c>
      <c r="C15">
        <f>PIVOT_HUB!C14</f>
        <v>5812.9749999999995</v>
      </c>
      <c r="D15" s="36">
        <f t="shared" si="0"/>
        <v>-0.48905569826644724</v>
      </c>
    </row>
    <row r="16" spans="1:14">
      <c r="A16" s="23" t="str">
        <f>PIVOT_HUB!A15</f>
        <v>Dec</v>
      </c>
      <c r="B16" s="24">
        <f>PIVOT_HUB!B15</f>
        <v>42428</v>
      </c>
      <c r="C16" s="24">
        <f>PIVOT_HUB!C15</f>
        <v>14849.799999999997</v>
      </c>
      <c r="D16" s="37">
        <f t="shared" si="0"/>
        <v>1.5545955384291177</v>
      </c>
    </row>
    <row r="22" spans="1:5" ht="30">
      <c r="A22" s="18" t="s">
        <v>785</v>
      </c>
      <c r="B22" s="32" t="s">
        <v>11</v>
      </c>
      <c r="C22" s="32" t="s">
        <v>13</v>
      </c>
      <c r="D22" s="16" t="s">
        <v>786</v>
      </c>
      <c r="E22" s="14" t="s">
        <v>787</v>
      </c>
    </row>
    <row r="23" spans="1:5" ht="43.2">
      <c r="A23" s="13" t="s">
        <v>22</v>
      </c>
      <c r="B23">
        <f>PIVOT_HUB!G4</f>
        <v>79591.5</v>
      </c>
      <c r="C23">
        <f>PIVOT_HUB!H4</f>
        <v>27857.024999999998</v>
      </c>
      <c r="D23" s="33">
        <f>C23/B23</f>
        <v>0.35</v>
      </c>
      <c r="E23">
        <f>RANK(B23,$B$23:$B$27,0)</f>
        <v>3</v>
      </c>
    </row>
    <row r="24" spans="1:5" ht="28.8">
      <c r="A24" s="13" t="s">
        <v>15</v>
      </c>
      <c r="B24">
        <f>PIVOT_HUB!G5</f>
        <v>91990</v>
      </c>
      <c r="C24">
        <f>PIVOT_HUB!H5</f>
        <v>32196.5</v>
      </c>
      <c r="D24" s="33">
        <f>C24/B24</f>
        <v>0.35</v>
      </c>
      <c r="E24">
        <f t="shared" ref="E24:E27" si="1">RANK(B24,$B$23:$B$27,0)</f>
        <v>1</v>
      </c>
    </row>
    <row r="25" spans="1:5" ht="28.8">
      <c r="A25" s="13" t="s">
        <v>33</v>
      </c>
      <c r="B25">
        <f>PIVOT_HUB!G6</f>
        <v>83293</v>
      </c>
      <c r="C25">
        <f>PIVOT_HUB!H6</f>
        <v>29152.55000000001</v>
      </c>
      <c r="D25" s="33">
        <f t="shared" ref="D25:D27" si="2">C25/B25</f>
        <v>0.35000000000000014</v>
      </c>
      <c r="E25">
        <f t="shared" si="1"/>
        <v>2</v>
      </c>
    </row>
    <row r="26" spans="1:5" ht="28.8">
      <c r="A26" s="13" t="s">
        <v>28</v>
      </c>
      <c r="B26">
        <f>PIVOT_HUB!G7</f>
        <v>66173.5</v>
      </c>
      <c r="C26">
        <f>PIVOT_HUB!H7</f>
        <v>23160.724999999999</v>
      </c>
      <c r="D26" s="33">
        <f t="shared" si="2"/>
        <v>0.35</v>
      </c>
      <c r="E26">
        <f t="shared" si="1"/>
        <v>5</v>
      </c>
    </row>
    <row r="27" spans="1:5" ht="28.8">
      <c r="A27" s="13" t="s">
        <v>107</v>
      </c>
      <c r="B27">
        <f>PIVOT_HUB!G8</f>
        <v>66966</v>
      </c>
      <c r="C27">
        <f>PIVOT_HUB!H8</f>
        <v>23438.100000000002</v>
      </c>
      <c r="D27" s="33">
        <f t="shared" si="2"/>
        <v>0.35000000000000003</v>
      </c>
      <c r="E27">
        <f t="shared" si="1"/>
        <v>4</v>
      </c>
    </row>
  </sheetData>
  <sheetProtection selectLockedCells="1"/>
  <mergeCells count="2">
    <mergeCell ref="A1:N1"/>
    <mergeCell ref="A2:N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AC9CB-6DE1-45CC-BEB1-7588D2758FDD}">
  <dimension ref="A2:H35"/>
  <sheetViews>
    <sheetView zoomScale="94" workbookViewId="0">
      <selection activeCell="H4" sqref="H4"/>
    </sheetView>
  </sheetViews>
  <sheetFormatPr defaultRowHeight="14.4"/>
  <cols>
    <col min="1" max="1" width="12.88671875" bestFit="1" customWidth="1"/>
    <col min="2" max="4" width="14.88671875" bestFit="1" customWidth="1"/>
    <col min="6" max="6" width="16.88671875" bestFit="1" customWidth="1"/>
    <col min="7" max="7" width="14.88671875" bestFit="1" customWidth="1"/>
    <col min="8" max="8" width="12.109375" bestFit="1" customWidth="1"/>
  </cols>
  <sheetData>
    <row r="2" spans="1:8" ht="15.6">
      <c r="A2" s="63" t="s">
        <v>769</v>
      </c>
      <c r="B2" s="64"/>
      <c r="C2" s="64"/>
      <c r="D2" s="64"/>
      <c r="F2" s="63" t="s">
        <v>770</v>
      </c>
      <c r="G2" s="62"/>
      <c r="H2" s="62"/>
    </row>
    <row r="3" spans="1:8">
      <c r="A3" s="10" t="s">
        <v>752</v>
      </c>
      <c r="B3" t="s">
        <v>766</v>
      </c>
      <c r="C3" t="s">
        <v>767</v>
      </c>
      <c r="D3" t="s">
        <v>768</v>
      </c>
      <c r="F3" s="10" t="s">
        <v>752</v>
      </c>
      <c r="G3" t="s">
        <v>766</v>
      </c>
      <c r="H3" t="s">
        <v>767</v>
      </c>
    </row>
    <row r="4" spans="1:8">
      <c r="A4" s="11" t="s">
        <v>754</v>
      </c>
      <c r="B4" s="12">
        <v>36202.5</v>
      </c>
      <c r="C4" s="12">
        <v>12670.875</v>
      </c>
      <c r="D4">
        <v>65</v>
      </c>
      <c r="F4" s="11" t="s">
        <v>22</v>
      </c>
      <c r="G4" s="12">
        <v>79591.5</v>
      </c>
      <c r="H4" s="12">
        <v>27857.024999999998</v>
      </c>
    </row>
    <row r="5" spans="1:8">
      <c r="A5" s="11" t="s">
        <v>755</v>
      </c>
      <c r="B5" s="12">
        <v>39371</v>
      </c>
      <c r="C5" s="12">
        <v>13779.85</v>
      </c>
      <c r="D5">
        <v>76</v>
      </c>
      <c r="F5" s="11" t="s">
        <v>15</v>
      </c>
      <c r="G5" s="12">
        <v>91990</v>
      </c>
      <c r="H5" s="12">
        <v>32196.5</v>
      </c>
    </row>
    <row r="6" spans="1:8">
      <c r="A6" s="11" t="s">
        <v>756</v>
      </c>
      <c r="B6" s="12">
        <v>31778</v>
      </c>
      <c r="C6" s="12">
        <v>11122.299999999996</v>
      </c>
      <c r="D6">
        <v>75</v>
      </c>
      <c r="F6" s="11" t="s">
        <v>33</v>
      </c>
      <c r="G6" s="12">
        <v>83293</v>
      </c>
      <c r="H6" s="12">
        <v>29152.55000000001</v>
      </c>
    </row>
    <row r="7" spans="1:8">
      <c r="A7" s="11" t="s">
        <v>757</v>
      </c>
      <c r="B7" s="12">
        <v>28303.5</v>
      </c>
      <c r="C7" s="12">
        <v>9906.2250000000004</v>
      </c>
      <c r="D7">
        <v>49</v>
      </c>
      <c r="F7" s="11" t="s">
        <v>28</v>
      </c>
      <c r="G7" s="12">
        <v>66173.5</v>
      </c>
      <c r="H7" s="12">
        <v>23160.724999999999</v>
      </c>
    </row>
    <row r="8" spans="1:8">
      <c r="A8" s="11" t="s">
        <v>758</v>
      </c>
      <c r="B8" s="12">
        <v>35009.5</v>
      </c>
      <c r="C8" s="12">
        <v>12253.324999999999</v>
      </c>
      <c r="D8">
        <v>77</v>
      </c>
      <c r="F8" s="11" t="s">
        <v>107</v>
      </c>
      <c r="G8" s="12">
        <v>66966</v>
      </c>
      <c r="H8" s="12">
        <v>23438.100000000002</v>
      </c>
    </row>
    <row r="9" spans="1:8">
      <c r="A9" s="11" t="s">
        <v>759</v>
      </c>
      <c r="B9" s="12">
        <v>36761</v>
      </c>
      <c r="C9" s="12">
        <v>12866.350000000002</v>
      </c>
      <c r="D9">
        <v>76</v>
      </c>
    </row>
    <row r="10" spans="1:8">
      <c r="A10" s="11" t="s">
        <v>760</v>
      </c>
      <c r="B10" s="12">
        <v>22633</v>
      </c>
      <c r="C10" s="12">
        <v>7921.5499999999984</v>
      </c>
      <c r="D10">
        <v>56</v>
      </c>
    </row>
    <row r="11" spans="1:8">
      <c r="A11" s="11" t="s">
        <v>761</v>
      </c>
      <c r="B11" s="12">
        <v>33438</v>
      </c>
      <c r="C11" s="12">
        <v>11703.300000000003</v>
      </c>
      <c r="D11">
        <v>68</v>
      </c>
    </row>
    <row r="12" spans="1:8">
      <c r="A12" s="11" t="s">
        <v>762</v>
      </c>
      <c r="B12" s="12">
        <v>32975.5</v>
      </c>
      <c r="C12" s="12">
        <v>11541.425000000003</v>
      </c>
      <c r="D12">
        <v>66</v>
      </c>
    </row>
    <row r="13" spans="1:8">
      <c r="A13" s="11" t="s">
        <v>763</v>
      </c>
      <c r="B13" s="12">
        <v>32505.5</v>
      </c>
      <c r="C13" s="12">
        <v>11376.924999999999</v>
      </c>
      <c r="D13">
        <v>57</v>
      </c>
    </row>
    <row r="14" spans="1:8">
      <c r="A14" s="11" t="s">
        <v>764</v>
      </c>
      <c r="B14" s="12">
        <v>16608.5</v>
      </c>
      <c r="C14" s="12">
        <v>5812.9749999999995</v>
      </c>
      <c r="D14">
        <v>43</v>
      </c>
    </row>
    <row r="15" spans="1:8">
      <c r="A15" s="11" t="s">
        <v>765</v>
      </c>
      <c r="B15" s="12">
        <v>42428</v>
      </c>
      <c r="C15" s="12">
        <v>14849.799999999997</v>
      </c>
      <c r="D15">
        <v>84</v>
      </c>
    </row>
    <row r="16" spans="1:8">
      <c r="A16" s="11" t="s">
        <v>753</v>
      </c>
      <c r="B16" s="12">
        <v>388014</v>
      </c>
      <c r="C16" s="12">
        <v>135804.9</v>
      </c>
      <c r="D16">
        <v>792</v>
      </c>
    </row>
    <row r="18" spans="1:7" ht="15.6">
      <c r="A18" s="63" t="s">
        <v>771</v>
      </c>
      <c r="B18" s="62"/>
      <c r="C18" s="62"/>
      <c r="D18" s="62"/>
      <c r="F18" s="63" t="s">
        <v>772</v>
      </c>
      <c r="G18" s="62"/>
    </row>
    <row r="19" spans="1:7">
      <c r="A19" s="10" t="s">
        <v>752</v>
      </c>
      <c r="B19" t="s">
        <v>766</v>
      </c>
      <c r="C19" t="s">
        <v>767</v>
      </c>
      <c r="D19" t="s">
        <v>768</v>
      </c>
      <c r="F19" s="10" t="s">
        <v>752</v>
      </c>
      <c r="G19" t="s">
        <v>766</v>
      </c>
    </row>
    <row r="20" spans="1:7">
      <c r="A20" s="11" t="s">
        <v>24</v>
      </c>
      <c r="B20" s="12">
        <v>216966.5</v>
      </c>
      <c r="C20" s="12">
        <v>75938.274999999965</v>
      </c>
      <c r="D20">
        <v>279</v>
      </c>
      <c r="F20" s="11" t="s">
        <v>109</v>
      </c>
      <c r="G20" s="12">
        <v>14163</v>
      </c>
    </row>
    <row r="21" spans="1:7">
      <c r="A21" s="11" t="s">
        <v>17</v>
      </c>
      <c r="B21" s="12">
        <v>43343.5</v>
      </c>
      <c r="C21" s="12">
        <v>15170.225000000006</v>
      </c>
      <c r="D21">
        <v>264</v>
      </c>
      <c r="F21" s="11" t="s">
        <v>83</v>
      </c>
      <c r="G21" s="12">
        <v>15091</v>
      </c>
    </row>
    <row r="22" spans="1:7">
      <c r="A22" s="11" t="s">
        <v>35</v>
      </c>
      <c r="B22" s="12">
        <v>127704</v>
      </c>
      <c r="C22" s="12">
        <v>44696.400000000038</v>
      </c>
      <c r="D22">
        <v>249</v>
      </c>
      <c r="F22" s="11" t="s">
        <v>60</v>
      </c>
      <c r="G22" s="12">
        <v>15379.5</v>
      </c>
    </row>
    <row r="23" spans="1:7">
      <c r="F23" s="11" t="s">
        <v>25</v>
      </c>
      <c r="G23" s="12">
        <v>19914.5</v>
      </c>
    </row>
    <row r="24" spans="1:7">
      <c r="F24" s="11" t="s">
        <v>104</v>
      </c>
      <c r="G24" s="12">
        <v>23594</v>
      </c>
    </row>
    <row r="25" spans="1:7">
      <c r="F25" s="11" t="s">
        <v>66</v>
      </c>
      <c r="G25" s="12">
        <v>25455</v>
      </c>
    </row>
    <row r="26" spans="1:7">
      <c r="F26" s="11" t="s">
        <v>71</v>
      </c>
      <c r="G26" s="12">
        <v>31137.5</v>
      </c>
    </row>
    <row r="27" spans="1:7">
      <c r="F27" s="11" t="s">
        <v>57</v>
      </c>
      <c r="G27" s="12">
        <v>36806</v>
      </c>
    </row>
    <row r="28" spans="1:7">
      <c r="F28" s="11" t="s">
        <v>39</v>
      </c>
      <c r="G28" s="12">
        <v>41947.5</v>
      </c>
    </row>
    <row r="29" spans="1:7">
      <c r="F29" s="11" t="s">
        <v>63</v>
      </c>
      <c r="G29" s="12">
        <v>61558.5</v>
      </c>
    </row>
    <row r="31" spans="1:7">
      <c r="A31" s="62"/>
      <c r="B31" s="62"/>
      <c r="C31" s="62"/>
    </row>
    <row r="32" spans="1:7">
      <c r="A32" s="10" t="s">
        <v>752</v>
      </c>
      <c r="B32" t="s">
        <v>766</v>
      </c>
      <c r="C32" t="s">
        <v>768</v>
      </c>
    </row>
    <row r="33" spans="1:3">
      <c r="A33" s="11" t="s">
        <v>52</v>
      </c>
      <c r="B33" s="12">
        <v>98181</v>
      </c>
      <c r="C33">
        <v>202</v>
      </c>
    </row>
    <row r="34" spans="1:3">
      <c r="A34" s="11" t="s">
        <v>45</v>
      </c>
      <c r="B34" s="12">
        <v>118950</v>
      </c>
      <c r="C34">
        <v>231</v>
      </c>
    </row>
    <row r="35" spans="1:3">
      <c r="A35" s="11" t="s">
        <v>20</v>
      </c>
      <c r="B35" s="12">
        <v>170883</v>
      </c>
      <c r="C35">
        <v>359</v>
      </c>
    </row>
  </sheetData>
  <mergeCells count="5">
    <mergeCell ref="A2:D2"/>
    <mergeCell ref="F2:H2"/>
    <mergeCell ref="A18:D18"/>
    <mergeCell ref="F18:G18"/>
    <mergeCell ref="A31:C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DFDB8-8156-4E2B-9DE4-F405B4BCA750}">
  <sheetPr>
    <tabColor rgb="FF00B050"/>
  </sheetPr>
  <dimension ref="A1:N11"/>
  <sheetViews>
    <sheetView showGridLines="0" showRowColHeaders="0" workbookViewId="0">
      <pane ySplit="1" topLeftCell="A2" activePane="bottomLeft" state="frozen"/>
      <selection activeCell="A20" sqref="A20"/>
      <selection pane="bottomLeft" activeCell="A20" sqref="A20"/>
    </sheetView>
  </sheetViews>
  <sheetFormatPr defaultRowHeight="14.4"/>
  <cols>
    <col min="1" max="1" width="10.109375" customWidth="1"/>
    <col min="2" max="2" width="13" customWidth="1"/>
    <col min="4" max="4" width="12.77734375" customWidth="1"/>
    <col min="10" max="10" width="10.6640625" customWidth="1"/>
    <col min="12" max="12" width="11.33203125" customWidth="1"/>
  </cols>
  <sheetData>
    <row r="1" spans="1:14" ht="25.8">
      <c r="A1" s="65" t="s">
        <v>773</v>
      </c>
      <c r="B1" s="65"/>
      <c r="C1" s="65"/>
      <c r="D1" s="65"/>
      <c r="E1" s="65"/>
      <c r="F1" s="65"/>
      <c r="G1" s="65"/>
      <c r="H1" s="65"/>
      <c r="I1" s="65"/>
      <c r="J1" s="65"/>
      <c r="K1" s="65"/>
      <c r="L1" s="65"/>
      <c r="M1" s="65"/>
      <c r="N1" s="65"/>
    </row>
    <row r="2" spans="1:14" ht="15.6">
      <c r="A2" s="66" t="s">
        <v>774</v>
      </c>
      <c r="B2" s="66"/>
      <c r="C2" s="66"/>
      <c r="D2" s="66"/>
      <c r="E2" s="66"/>
      <c r="F2" s="66"/>
      <c r="G2" s="66"/>
      <c r="H2" s="66"/>
      <c r="I2" s="66"/>
      <c r="J2" s="66"/>
      <c r="K2" s="66"/>
      <c r="L2" s="66"/>
      <c r="M2" s="66"/>
      <c r="N2" s="66"/>
    </row>
    <row r="4" spans="1:14">
      <c r="A4" s="67" t="str">
        <f>"Total 2024 Revenue: ₹"&amp;TEXT(B7,"##,##,##0")&amp;"  |  Best Month: "&amp;INDEX(PIVOT_HUB!A3:A14,MATCH(MAX(PIVOT_HUB!B3:B14),PIVOT_HUB!B3:B14,0))</f>
        <v>Total 2024 Revenue: ₹3,88,014  |  Best Month: Feb</v>
      </c>
      <c r="B4" s="67"/>
      <c r="C4" s="67"/>
      <c r="D4" s="67"/>
      <c r="E4" s="67"/>
      <c r="F4" s="67"/>
      <c r="G4" s="67"/>
      <c r="H4" s="67"/>
      <c r="I4" s="67"/>
      <c r="J4" s="67"/>
      <c r="K4" s="67"/>
      <c r="L4" s="67"/>
      <c r="M4" s="67"/>
      <c r="N4" s="67"/>
    </row>
    <row r="6" spans="1:14" ht="34.200000000000003">
      <c r="B6" s="20" t="s">
        <v>777</v>
      </c>
      <c r="C6" s="19"/>
      <c r="D6" s="20" t="s">
        <v>775</v>
      </c>
      <c r="E6" s="19"/>
      <c r="F6" s="20" t="s">
        <v>776</v>
      </c>
      <c r="G6" s="19"/>
      <c r="H6" s="20" t="s">
        <v>778</v>
      </c>
      <c r="I6" s="19"/>
      <c r="J6" s="20" t="s">
        <v>779</v>
      </c>
      <c r="K6" s="19"/>
      <c r="L6" s="20" t="s">
        <v>780</v>
      </c>
    </row>
    <row r="7" spans="1:14" ht="27.6">
      <c r="A7" s="13"/>
      <c r="B7" s="27">
        <f>GETPIVOTDATA("Sum of Revenue",PIVOT_HUB!$A$3)</f>
        <v>388014</v>
      </c>
      <c r="D7" s="28">
        <f>GETPIVOTDATA("Sum of Profit",PIVOT_HUB!$A$3)</f>
        <v>135804.9</v>
      </c>
      <c r="E7" s="14"/>
      <c r="F7" s="29">
        <f>COUNTA(RAW_DATA!A32:A501)</f>
        <v>470</v>
      </c>
      <c r="G7" s="13"/>
      <c r="H7" s="29">
        <f>B7/F7</f>
        <v>825.5617021276596</v>
      </c>
      <c r="J7" s="30" t="s">
        <v>15</v>
      </c>
      <c r="L7" s="31" t="str">
        <f>INDEX(PIVOT_HUB!A20:A23,MATCH(MAX(PIVOT_HUB!B20:B23),PIVOT_HUB!B20:B23,0))</f>
        <v>Clothing</v>
      </c>
    </row>
    <row r="11" spans="1:14">
      <c r="A11" s="25"/>
    </row>
  </sheetData>
  <sheetProtection sheet="1" objects="1" scenarios="1" selectLockedCells="1"/>
  <mergeCells count="3">
    <mergeCell ref="A1:N1"/>
    <mergeCell ref="A2:N2"/>
    <mergeCell ref="A4:N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5687F-2937-49A8-B052-5973FA0BA2DC}">
  <sheetPr>
    <tabColor rgb="FF7030A0"/>
  </sheetPr>
  <dimension ref="A1:N21"/>
  <sheetViews>
    <sheetView showGridLines="0" showRowColHeaders="0" workbookViewId="0">
      <pane ySplit="1" topLeftCell="A2" activePane="bottomLeft" state="frozen"/>
      <selection activeCell="A20" sqref="A20"/>
      <selection pane="bottomLeft" activeCell="A20" sqref="A20"/>
    </sheetView>
  </sheetViews>
  <sheetFormatPr defaultRowHeight="14.4"/>
  <cols>
    <col min="1" max="1" width="10.109375" customWidth="1"/>
    <col min="2" max="2" width="12.88671875" customWidth="1"/>
    <col min="3" max="3" width="12.88671875" bestFit="1" customWidth="1"/>
    <col min="4" max="5" width="11.33203125" bestFit="1" customWidth="1"/>
  </cols>
  <sheetData>
    <row r="1" spans="1:14" ht="23.4">
      <c r="A1" s="68" t="s">
        <v>788</v>
      </c>
      <c r="B1" s="62"/>
      <c r="C1" s="62"/>
      <c r="D1" s="62"/>
      <c r="E1" s="62"/>
      <c r="F1" s="62"/>
      <c r="G1" s="62"/>
      <c r="H1" s="62"/>
      <c r="I1" s="62"/>
      <c r="J1" s="62"/>
      <c r="K1" s="62"/>
      <c r="L1" s="62"/>
      <c r="M1" s="62"/>
      <c r="N1" s="62"/>
    </row>
    <row r="2" spans="1:14">
      <c r="A2" s="69" t="s">
        <v>789</v>
      </c>
      <c r="B2" s="62"/>
      <c r="C2" s="62"/>
      <c r="D2" s="62"/>
      <c r="E2" s="62"/>
      <c r="F2" s="62"/>
      <c r="G2" s="62"/>
      <c r="H2" s="62"/>
      <c r="I2" s="62"/>
      <c r="J2" s="62"/>
      <c r="K2" s="62"/>
      <c r="L2" s="62"/>
      <c r="M2" s="62"/>
      <c r="N2" s="62"/>
    </row>
    <row r="4" spans="1:14" ht="30">
      <c r="A4" s="18" t="s">
        <v>790</v>
      </c>
      <c r="B4" s="16" t="s">
        <v>791</v>
      </c>
      <c r="C4" s="18" t="s">
        <v>792</v>
      </c>
      <c r="D4" s="16" t="s">
        <v>793</v>
      </c>
      <c r="E4" s="18" t="s">
        <v>794</v>
      </c>
    </row>
    <row r="5" spans="1:14">
      <c r="A5" t="s">
        <v>45</v>
      </c>
      <c r="B5">
        <f>COUNTIF(RAW_DATA!$H$2:$H$501,A5)</f>
        <v>144</v>
      </c>
      <c r="C5" s="42">
        <f>SUMIF(RAW_DATA!$H$2:$H$501,A5,RAW_DATA!$L$2:$L$501)</f>
        <v>217394</v>
      </c>
      <c r="D5" s="41">
        <f>AVERAGEIF(RAW_DATA!$H$2:$H$501,A5,RAW_DATA!$L$2:$L$501)</f>
        <v>1509.6805555555557</v>
      </c>
      <c r="E5" s="39">
        <f>AVERAGEIF(RAW_DATA!$H$2:$H$501,A5,RAW_DATA!$I$2:$I$501)</f>
        <v>2.0902777777777777</v>
      </c>
    </row>
    <row r="6" spans="1:14">
      <c r="A6" t="s">
        <v>20</v>
      </c>
      <c r="B6">
        <f>COUNTIF(RAW_DATA!$H$2:$H$501,A6)</f>
        <v>226</v>
      </c>
      <c r="C6" s="42">
        <f>SUMIF(RAW_DATA!$H$2:$H$501,A6,RAW_DATA!$L$2:$L$501)</f>
        <v>319356</v>
      </c>
      <c r="D6" s="41">
        <f>AVERAGEIF(RAW_DATA!$H$2:$H$501,A6,RAW_DATA!$L$2:$L$501)</f>
        <v>1413.0796460176991</v>
      </c>
      <c r="E6" s="39">
        <f>AVERAGEIF(RAW_DATA!$H$2:$H$501,A6,RAW_DATA!$I$2:$I$501)</f>
        <v>2.1415929203539825</v>
      </c>
    </row>
    <row r="7" spans="1:14">
      <c r="A7" t="s">
        <v>52</v>
      </c>
      <c r="B7">
        <f>COUNTIF(RAW_DATA!$H$2:$H$501,A7)</f>
        <v>130</v>
      </c>
      <c r="C7" s="42">
        <f>SUMIF(RAW_DATA!$H$2:$H$501,A7,RAW_DATA!$L$2:$L$501)</f>
        <v>178483</v>
      </c>
      <c r="D7" s="41">
        <f>AVERAGEIF(RAW_DATA!$H$2:$H$501,A7,RAW_DATA!$L$2:$L$501)</f>
        <v>1372.9461538461539</v>
      </c>
      <c r="E7" s="39">
        <f>AVERAGEIF(RAW_DATA!$H$2:$H$501,A7,RAW_DATA!$I$2:$I$501)</f>
        <v>2</v>
      </c>
    </row>
    <row r="11" spans="1:14">
      <c r="A11" s="25" t="s">
        <v>795</v>
      </c>
    </row>
    <row r="12" spans="1:14" ht="15">
      <c r="A12" t="s">
        <v>796</v>
      </c>
      <c r="B12" s="15" t="s">
        <v>45</v>
      </c>
      <c r="C12" t="s">
        <v>20</v>
      </c>
      <c r="D12" s="15" t="s">
        <v>52</v>
      </c>
    </row>
    <row r="13" spans="1:14" ht="28.8">
      <c r="A13" s="13" t="s">
        <v>797</v>
      </c>
      <c r="B13" t="str">
        <f>IF(B5&lt;100,"Low",IF(B5&lt;160,"Medium","High"))</f>
        <v>Medium</v>
      </c>
      <c r="C13" t="str">
        <f t="shared" ref="C13:D13" si="0">IF(C5&lt;100,"Low",IF(C5&lt;160,"Medium","High"))</f>
        <v>High</v>
      </c>
      <c r="D13" t="str">
        <f t="shared" si="0"/>
        <v>High</v>
      </c>
    </row>
    <row r="14" spans="1:14" ht="28.8">
      <c r="A14" s="13" t="s">
        <v>798</v>
      </c>
      <c r="B14" t="str">
        <f>IF(B5/SUM($B$5:$B$7)&lt;0.25,"Low",IF(B5/SUM($B$5:$B$7)&lt;0.5,"Medium","High"))</f>
        <v>Medium</v>
      </c>
      <c r="C14" t="str">
        <f t="shared" ref="C14:D14" si="1">IF(C5/SUM($B$5:$B$7)&lt;0.25,"Low",IF(C5/SUM($B$5:$B$7)&lt;0.5,"Medium","High"))</f>
        <v>High</v>
      </c>
      <c r="D14" t="str">
        <f t="shared" si="1"/>
        <v>High</v>
      </c>
    </row>
    <row r="15" spans="1:14" ht="28.8">
      <c r="A15" s="13" t="s">
        <v>799</v>
      </c>
      <c r="B15" t="str">
        <f>IF(C5&lt;200000,"Low",IF(C5&lt;350000,"Medium","High"))</f>
        <v>Medium</v>
      </c>
      <c r="C15" t="str">
        <f t="shared" ref="C15:D15" si="2">IF(D5&lt;200000,"Low",IF(D5&lt;350000,"Medium","High"))</f>
        <v>Low</v>
      </c>
      <c r="D15" t="str">
        <f t="shared" si="2"/>
        <v>Low</v>
      </c>
    </row>
    <row r="17" spans="1:5">
      <c r="A17" s="25" t="s">
        <v>800</v>
      </c>
    </row>
    <row r="18" spans="1:5" ht="30">
      <c r="A18" s="18" t="s">
        <v>790</v>
      </c>
      <c r="B18" s="18" t="s">
        <v>42</v>
      </c>
      <c r="C18" s="18" t="s">
        <v>24</v>
      </c>
      <c r="D18" s="18" t="s">
        <v>17</v>
      </c>
      <c r="E18" s="18" t="s">
        <v>35</v>
      </c>
    </row>
    <row r="19" spans="1:5">
      <c r="A19" t="s">
        <v>45</v>
      </c>
      <c r="B19" s="43">
        <f>SUMIFS(RAW_DATA!$L$2:$L$501,RAW_DATA!$H$2:$H$501,A19,RAW_DATA!$E$2:$E$501,B$18)</f>
        <v>98444</v>
      </c>
      <c r="C19" s="40">
        <f>SUMIFS(RAW_DATA!$L$2:$L$501,RAW_DATA!$H$2:$H$501,A19,RAW_DATA!$E$2:$E$501,C$18)</f>
        <v>64462</v>
      </c>
      <c r="D19" s="40">
        <f>SUMIFS(RAW_DATA!$L$2:$L$501,RAW_DATA!$H$2:$H$501,A19,RAW_DATA!$E$2:$E$501,D$18)</f>
        <v>14347</v>
      </c>
      <c r="E19" s="40">
        <f>SUMIFS(RAW_DATA!$L$2:$L$501,RAW_DATA!$H$2:$H$501,A19,RAW_DATA!$E$2:$E$501,E$18)</f>
        <v>40141</v>
      </c>
    </row>
    <row r="20" spans="1:5">
      <c r="A20" t="s">
        <v>20</v>
      </c>
      <c r="B20" s="43">
        <f>SUMIFS(RAW_DATA!$L$2:$L$501,RAW_DATA!$H$2:$H$501,A20,RAW_DATA!$E$2:$E$501,B$18)</f>
        <v>148473</v>
      </c>
      <c r="C20" s="40">
        <f>SUMIFS(RAW_DATA!$L$2:$L$501,RAW_DATA!$H$2:$H$501,A20,RAW_DATA!$E$2:$E$501,C$18)</f>
        <v>95460.5</v>
      </c>
      <c r="D20" s="40">
        <f>SUMIFS(RAW_DATA!$L$2:$L$501,RAW_DATA!$H$2:$H$501,A20,RAW_DATA!$E$2:$E$501,D$18)</f>
        <v>20529</v>
      </c>
      <c r="E20" s="40">
        <f>SUMIFS(RAW_DATA!$L$2:$L$501,RAW_DATA!$H$2:$H$501,A20,RAW_DATA!$E$2:$E$501,E$18)</f>
        <v>54893.5</v>
      </c>
    </row>
    <row r="21" spans="1:5">
      <c r="A21" t="s">
        <v>52</v>
      </c>
      <c r="B21" s="43">
        <f>SUMIFS(RAW_DATA!$L$2:$L$501,RAW_DATA!$H$2:$H$501,A21,RAW_DATA!$E$2:$E$501,B$18)</f>
        <v>80302</v>
      </c>
      <c r="C21" s="40">
        <f>SUMIFS(RAW_DATA!$L$2:$L$501,RAW_DATA!$H$2:$H$501,A21,RAW_DATA!$E$2:$E$501,C$18)</f>
        <v>57044</v>
      </c>
      <c r="D21" s="40">
        <f>SUMIFS(RAW_DATA!$L$2:$L$501,RAW_DATA!$H$2:$H$501,A21,RAW_DATA!$E$2:$E$501,D$18)</f>
        <v>8467.5</v>
      </c>
      <c r="E21" s="40">
        <f>SUMIFS(RAW_DATA!$L$2:$L$501,RAW_DATA!$H$2:$H$501,A21,RAW_DATA!$E$2:$E$501,E$18)</f>
        <v>32669.5</v>
      </c>
    </row>
  </sheetData>
  <mergeCells count="2">
    <mergeCell ref="A1:N1"/>
    <mergeCell ref="A2:N2"/>
  </mergeCells>
  <conditionalFormatting sqref="A13:D15">
    <cfRule type="colorScale" priority="3">
      <colorScale>
        <cfvo type="min"/>
        <cfvo type="percentile" val="50"/>
        <cfvo type="max"/>
        <color rgb="FFF8696B"/>
        <color rgb="FFFFEB84"/>
        <color rgb="FF63BE7B"/>
      </colorScale>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34998626667073579"/>
  </sheetPr>
  <dimension ref="A1:N501"/>
  <sheetViews>
    <sheetView zoomScaleNormal="100" workbookViewId="0">
      <pane ySplit="1" topLeftCell="A2" activePane="bottomLeft" state="frozen"/>
      <selection activeCell="A20" sqref="A20"/>
      <selection pane="bottomLeft" activeCell="A20" sqref="A20"/>
    </sheetView>
  </sheetViews>
  <sheetFormatPr defaultColWidth="8.6640625" defaultRowHeight="14.4"/>
  <cols>
    <col min="1" max="1" width="10" customWidth="1"/>
    <col min="2" max="2" width="14" customWidth="1"/>
    <col min="3" max="3" width="22" customWidth="1"/>
    <col min="4" max="4" width="14" customWidth="1"/>
    <col min="5" max="5" width="16" customWidth="1"/>
    <col min="6" max="6" width="24" customWidth="1"/>
    <col min="7" max="7" width="12" customWidth="1"/>
    <col min="8" max="8" width="14" customWidth="1"/>
    <col min="9" max="9" width="10" customWidth="1"/>
    <col min="10" max="11" width="12" customWidth="1"/>
    <col min="12" max="14" width="14" customWidth="1"/>
  </cols>
  <sheetData>
    <row r="1" spans="1:14" ht="21.7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s="3">
        <v>45293</v>
      </c>
      <c r="C2" s="2" t="s">
        <v>15</v>
      </c>
      <c r="D2" s="2" t="s">
        <v>16</v>
      </c>
      <c r="E2" s="2" t="s">
        <v>17</v>
      </c>
      <c r="F2" s="2" t="s">
        <v>18</v>
      </c>
      <c r="G2" s="2" t="s">
        <v>19</v>
      </c>
      <c r="H2" s="2" t="s">
        <v>20</v>
      </c>
      <c r="I2" s="4">
        <v>1</v>
      </c>
      <c r="J2" s="4">
        <v>310</v>
      </c>
      <c r="K2" s="4">
        <v>5</v>
      </c>
      <c r="L2" s="5">
        <f t="shared" ref="L2:L65" si="0">I2*J2*(1-K2/100)</f>
        <v>294.5</v>
      </c>
      <c r="M2" s="5">
        <f t="shared" ref="M2:M65" si="1">L2*0.65</f>
        <v>191.42500000000001</v>
      </c>
      <c r="N2" s="5">
        <f t="shared" ref="N2:N65" si="2">L2-M2</f>
        <v>103.07499999999999</v>
      </c>
    </row>
    <row r="3" spans="1:14">
      <c r="A3" s="6" t="s">
        <v>21</v>
      </c>
      <c r="B3" s="7">
        <v>45294</v>
      </c>
      <c r="C3" s="6" t="s">
        <v>22</v>
      </c>
      <c r="D3" s="6" t="s">
        <v>23</v>
      </c>
      <c r="E3" s="6" t="s">
        <v>24</v>
      </c>
      <c r="F3" s="6" t="s">
        <v>25</v>
      </c>
      <c r="G3" s="6" t="s">
        <v>26</v>
      </c>
      <c r="H3" s="6" t="s">
        <v>20</v>
      </c>
      <c r="I3" s="8">
        <v>1</v>
      </c>
      <c r="J3" s="8">
        <v>770</v>
      </c>
      <c r="K3" s="8">
        <v>10</v>
      </c>
      <c r="L3" s="9">
        <f t="shared" si="0"/>
        <v>693</v>
      </c>
      <c r="M3" s="9">
        <f t="shared" si="1"/>
        <v>450.45</v>
      </c>
      <c r="N3" s="9">
        <f t="shared" si="2"/>
        <v>242.55</v>
      </c>
    </row>
    <row r="4" spans="1:14">
      <c r="A4" s="2" t="s">
        <v>27</v>
      </c>
      <c r="B4" s="3">
        <v>45294</v>
      </c>
      <c r="C4" s="2" t="s">
        <v>28</v>
      </c>
      <c r="D4" s="2" t="s">
        <v>29</v>
      </c>
      <c r="E4" s="2" t="s">
        <v>17</v>
      </c>
      <c r="F4" s="2" t="s">
        <v>30</v>
      </c>
      <c r="G4" s="2" t="s">
        <v>31</v>
      </c>
      <c r="H4" s="2" t="s">
        <v>20</v>
      </c>
      <c r="I4" s="4">
        <v>1</v>
      </c>
      <c r="J4" s="4">
        <v>260</v>
      </c>
      <c r="K4" s="4">
        <v>5</v>
      </c>
      <c r="L4" s="5">
        <f t="shared" si="0"/>
        <v>247</v>
      </c>
      <c r="M4" s="5">
        <f t="shared" si="1"/>
        <v>160.55000000000001</v>
      </c>
      <c r="N4" s="5">
        <f t="shared" si="2"/>
        <v>86.449999999999989</v>
      </c>
    </row>
    <row r="5" spans="1:14">
      <c r="A5" s="6" t="s">
        <v>32</v>
      </c>
      <c r="B5" s="7">
        <v>45294</v>
      </c>
      <c r="C5" s="6" t="s">
        <v>33</v>
      </c>
      <c r="D5" s="6" t="s">
        <v>34</v>
      </c>
      <c r="E5" s="6" t="s">
        <v>35</v>
      </c>
      <c r="F5" s="6" t="s">
        <v>36</v>
      </c>
      <c r="G5" s="6" t="s">
        <v>37</v>
      </c>
      <c r="H5" s="6" t="s">
        <v>20</v>
      </c>
      <c r="I5" s="8">
        <v>3</v>
      </c>
      <c r="J5" s="8">
        <v>230</v>
      </c>
      <c r="K5" s="8">
        <v>15</v>
      </c>
      <c r="L5" s="9">
        <f t="shared" si="0"/>
        <v>586.5</v>
      </c>
      <c r="M5" s="9">
        <f t="shared" si="1"/>
        <v>381.22500000000002</v>
      </c>
      <c r="N5" s="9">
        <f t="shared" si="2"/>
        <v>205.27499999999998</v>
      </c>
    </row>
    <row r="6" spans="1:14">
      <c r="A6" s="2" t="s">
        <v>38</v>
      </c>
      <c r="B6" s="3">
        <v>45294</v>
      </c>
      <c r="C6" s="2" t="s">
        <v>33</v>
      </c>
      <c r="D6" s="2" t="s">
        <v>34</v>
      </c>
      <c r="E6" s="2" t="s">
        <v>24</v>
      </c>
      <c r="F6" s="2" t="s">
        <v>39</v>
      </c>
      <c r="G6" s="2" t="s">
        <v>40</v>
      </c>
      <c r="H6" s="2" t="s">
        <v>20</v>
      </c>
      <c r="I6" s="4">
        <v>3</v>
      </c>
      <c r="J6" s="4">
        <v>1250</v>
      </c>
      <c r="K6" s="4">
        <v>5</v>
      </c>
      <c r="L6" s="5">
        <f t="shared" si="0"/>
        <v>3562.5</v>
      </c>
      <c r="M6" s="5">
        <f t="shared" si="1"/>
        <v>2315.625</v>
      </c>
      <c r="N6" s="5">
        <f t="shared" si="2"/>
        <v>1246.875</v>
      </c>
    </row>
    <row r="7" spans="1:14">
      <c r="A7" s="6" t="s">
        <v>41</v>
      </c>
      <c r="B7" s="7">
        <v>45296</v>
      </c>
      <c r="C7" s="6" t="s">
        <v>28</v>
      </c>
      <c r="D7" s="6" t="s">
        <v>29</v>
      </c>
      <c r="E7" s="6" t="s">
        <v>42</v>
      </c>
      <c r="F7" s="6" t="s">
        <v>43</v>
      </c>
      <c r="G7" s="6" t="s">
        <v>44</v>
      </c>
      <c r="H7" s="6" t="s">
        <v>45</v>
      </c>
      <c r="I7" s="8">
        <v>4</v>
      </c>
      <c r="J7" s="8">
        <v>3530</v>
      </c>
      <c r="K7" s="8">
        <v>0</v>
      </c>
      <c r="L7" s="9">
        <f t="shared" si="0"/>
        <v>14120</v>
      </c>
      <c r="M7" s="9">
        <f t="shared" si="1"/>
        <v>9178</v>
      </c>
      <c r="N7" s="9">
        <f t="shared" si="2"/>
        <v>4942</v>
      </c>
    </row>
    <row r="8" spans="1:14">
      <c r="A8" s="2" t="s">
        <v>46</v>
      </c>
      <c r="B8" s="3">
        <v>45296</v>
      </c>
      <c r="C8" s="2" t="s">
        <v>33</v>
      </c>
      <c r="D8" s="2" t="s">
        <v>34</v>
      </c>
      <c r="E8" s="2" t="s">
        <v>42</v>
      </c>
      <c r="F8" s="2" t="s">
        <v>47</v>
      </c>
      <c r="G8" s="2" t="s">
        <v>48</v>
      </c>
      <c r="H8" s="2" t="s">
        <v>45</v>
      </c>
      <c r="I8" s="4">
        <v>1</v>
      </c>
      <c r="J8" s="4">
        <v>1040</v>
      </c>
      <c r="K8" s="4">
        <v>10</v>
      </c>
      <c r="L8" s="5">
        <f t="shared" si="0"/>
        <v>936</v>
      </c>
      <c r="M8" s="5">
        <f t="shared" si="1"/>
        <v>608.4</v>
      </c>
      <c r="N8" s="5">
        <f t="shared" si="2"/>
        <v>327.60000000000002</v>
      </c>
    </row>
    <row r="9" spans="1:14">
      <c r="A9" s="6" t="s">
        <v>49</v>
      </c>
      <c r="B9" s="7">
        <v>45298</v>
      </c>
      <c r="C9" s="6" t="s">
        <v>33</v>
      </c>
      <c r="D9" s="6" t="s">
        <v>34</v>
      </c>
      <c r="E9" s="6" t="s">
        <v>35</v>
      </c>
      <c r="F9" s="6" t="s">
        <v>50</v>
      </c>
      <c r="G9" s="6" t="s">
        <v>51</v>
      </c>
      <c r="H9" s="6" t="s">
        <v>52</v>
      </c>
      <c r="I9" s="8">
        <v>4</v>
      </c>
      <c r="J9" s="8">
        <v>320</v>
      </c>
      <c r="K9" s="8">
        <v>10</v>
      </c>
      <c r="L9" s="9">
        <f t="shared" si="0"/>
        <v>1152</v>
      </c>
      <c r="M9" s="9">
        <f t="shared" si="1"/>
        <v>748.80000000000007</v>
      </c>
      <c r="N9" s="9">
        <f t="shared" si="2"/>
        <v>403.19999999999993</v>
      </c>
    </row>
    <row r="10" spans="1:14">
      <c r="A10" s="2" t="s">
        <v>53</v>
      </c>
      <c r="B10" s="3">
        <v>45298</v>
      </c>
      <c r="C10" s="2" t="s">
        <v>22</v>
      </c>
      <c r="D10" s="2" t="s">
        <v>23</v>
      </c>
      <c r="E10" s="2" t="s">
        <v>24</v>
      </c>
      <c r="F10" s="2" t="s">
        <v>54</v>
      </c>
      <c r="G10" s="2" t="s">
        <v>55</v>
      </c>
      <c r="H10" s="2" t="s">
        <v>20</v>
      </c>
      <c r="I10" s="4">
        <v>1</v>
      </c>
      <c r="J10" s="4">
        <v>350</v>
      </c>
      <c r="K10" s="4">
        <v>15</v>
      </c>
      <c r="L10" s="5">
        <f t="shared" si="0"/>
        <v>297.5</v>
      </c>
      <c r="M10" s="5">
        <f t="shared" si="1"/>
        <v>193.375</v>
      </c>
      <c r="N10" s="5">
        <f t="shared" si="2"/>
        <v>104.125</v>
      </c>
    </row>
    <row r="11" spans="1:14">
      <c r="A11" s="6" t="s">
        <v>56</v>
      </c>
      <c r="B11" s="7">
        <v>45302</v>
      </c>
      <c r="C11" s="6" t="s">
        <v>22</v>
      </c>
      <c r="D11" s="6" t="s">
        <v>23</v>
      </c>
      <c r="E11" s="6" t="s">
        <v>35</v>
      </c>
      <c r="F11" s="6" t="s">
        <v>57</v>
      </c>
      <c r="G11" s="6" t="s">
        <v>58</v>
      </c>
      <c r="H11" s="6" t="s">
        <v>45</v>
      </c>
      <c r="I11" s="8">
        <v>1</v>
      </c>
      <c r="J11" s="8">
        <v>810</v>
      </c>
      <c r="K11" s="8">
        <v>5</v>
      </c>
      <c r="L11" s="9">
        <f t="shared" si="0"/>
        <v>769.5</v>
      </c>
      <c r="M11" s="9">
        <f t="shared" si="1"/>
        <v>500.17500000000001</v>
      </c>
      <c r="N11" s="9">
        <f t="shared" si="2"/>
        <v>269.32499999999999</v>
      </c>
    </row>
    <row r="12" spans="1:14">
      <c r="A12" s="2" t="s">
        <v>59</v>
      </c>
      <c r="B12" s="3">
        <v>45302</v>
      </c>
      <c r="C12" s="2" t="s">
        <v>28</v>
      </c>
      <c r="D12" s="2" t="s">
        <v>29</v>
      </c>
      <c r="E12" s="2" t="s">
        <v>35</v>
      </c>
      <c r="F12" s="2" t="s">
        <v>60</v>
      </c>
      <c r="G12" s="2" t="s">
        <v>61</v>
      </c>
      <c r="H12" s="2" t="s">
        <v>45</v>
      </c>
      <c r="I12" s="4">
        <v>1</v>
      </c>
      <c r="J12" s="4">
        <v>720</v>
      </c>
      <c r="K12" s="4">
        <v>0</v>
      </c>
      <c r="L12" s="5">
        <f t="shared" si="0"/>
        <v>720</v>
      </c>
      <c r="M12" s="5">
        <f t="shared" si="1"/>
        <v>468</v>
      </c>
      <c r="N12" s="5">
        <f t="shared" si="2"/>
        <v>252</v>
      </c>
    </row>
    <row r="13" spans="1:14">
      <c r="A13" s="6" t="s">
        <v>62</v>
      </c>
      <c r="B13" s="7">
        <v>45303</v>
      </c>
      <c r="C13" s="6" t="s">
        <v>15</v>
      </c>
      <c r="D13" s="6" t="s">
        <v>16</v>
      </c>
      <c r="E13" s="6" t="s">
        <v>24</v>
      </c>
      <c r="F13" s="6" t="s">
        <v>63</v>
      </c>
      <c r="G13" s="6" t="s">
        <v>64</v>
      </c>
      <c r="H13" s="6" t="s">
        <v>52</v>
      </c>
      <c r="I13" s="8">
        <v>3</v>
      </c>
      <c r="J13" s="8">
        <v>1590</v>
      </c>
      <c r="K13" s="8">
        <v>15</v>
      </c>
      <c r="L13" s="9">
        <f t="shared" si="0"/>
        <v>4054.5</v>
      </c>
      <c r="M13" s="9">
        <f t="shared" si="1"/>
        <v>2635.4250000000002</v>
      </c>
      <c r="N13" s="9">
        <f t="shared" si="2"/>
        <v>1419.0749999999998</v>
      </c>
    </row>
    <row r="14" spans="1:14">
      <c r="A14" s="2" t="s">
        <v>65</v>
      </c>
      <c r="B14" s="3">
        <v>45303</v>
      </c>
      <c r="C14" s="2" t="s">
        <v>22</v>
      </c>
      <c r="D14" s="2" t="s">
        <v>23</v>
      </c>
      <c r="E14" s="2" t="s">
        <v>24</v>
      </c>
      <c r="F14" s="2" t="s">
        <v>66</v>
      </c>
      <c r="G14" s="2" t="s">
        <v>67</v>
      </c>
      <c r="H14" s="2" t="s">
        <v>52</v>
      </c>
      <c r="I14" s="4">
        <v>1</v>
      </c>
      <c r="J14" s="4">
        <v>680</v>
      </c>
      <c r="K14" s="4">
        <v>20</v>
      </c>
      <c r="L14" s="5">
        <f t="shared" si="0"/>
        <v>544</v>
      </c>
      <c r="M14" s="5">
        <f t="shared" si="1"/>
        <v>353.6</v>
      </c>
      <c r="N14" s="5">
        <f t="shared" si="2"/>
        <v>190.39999999999998</v>
      </c>
    </row>
    <row r="15" spans="1:14">
      <c r="A15" s="6" t="s">
        <v>68</v>
      </c>
      <c r="B15" s="7">
        <v>45305</v>
      </c>
      <c r="C15" s="6" t="s">
        <v>33</v>
      </c>
      <c r="D15" s="6" t="s">
        <v>34</v>
      </c>
      <c r="E15" s="6" t="s">
        <v>17</v>
      </c>
      <c r="F15" s="6" t="s">
        <v>18</v>
      </c>
      <c r="G15" s="6" t="s">
        <v>69</v>
      </c>
      <c r="H15" s="6" t="s">
        <v>45</v>
      </c>
      <c r="I15" s="8">
        <v>4</v>
      </c>
      <c r="J15" s="8">
        <v>320</v>
      </c>
      <c r="K15" s="8">
        <v>0</v>
      </c>
      <c r="L15" s="9">
        <f t="shared" si="0"/>
        <v>1280</v>
      </c>
      <c r="M15" s="9">
        <f t="shared" si="1"/>
        <v>832</v>
      </c>
      <c r="N15" s="9">
        <f t="shared" si="2"/>
        <v>448</v>
      </c>
    </row>
    <row r="16" spans="1:14">
      <c r="A16" s="2" t="s">
        <v>70</v>
      </c>
      <c r="B16" s="3">
        <v>45306</v>
      </c>
      <c r="C16" s="2" t="s">
        <v>22</v>
      </c>
      <c r="D16" s="2" t="s">
        <v>23</v>
      </c>
      <c r="E16" s="2" t="s">
        <v>24</v>
      </c>
      <c r="F16" s="2" t="s">
        <v>71</v>
      </c>
      <c r="G16" s="2" t="s">
        <v>72</v>
      </c>
      <c r="H16" s="2" t="s">
        <v>20</v>
      </c>
      <c r="I16" s="4">
        <v>1</v>
      </c>
      <c r="J16" s="4">
        <v>860</v>
      </c>
      <c r="K16" s="4">
        <v>5</v>
      </c>
      <c r="L16" s="5">
        <f t="shared" si="0"/>
        <v>817</v>
      </c>
      <c r="M16" s="5">
        <f t="shared" si="1"/>
        <v>531.05000000000007</v>
      </c>
      <c r="N16" s="5">
        <f t="shared" si="2"/>
        <v>285.94999999999993</v>
      </c>
    </row>
    <row r="17" spans="1:14">
      <c r="A17" s="6" t="s">
        <v>73</v>
      </c>
      <c r="B17" s="7">
        <v>45306</v>
      </c>
      <c r="C17" s="6" t="s">
        <v>28</v>
      </c>
      <c r="D17" s="6" t="s">
        <v>29</v>
      </c>
      <c r="E17" s="6" t="s">
        <v>42</v>
      </c>
      <c r="F17" s="6" t="s">
        <v>74</v>
      </c>
      <c r="G17" s="6" t="s">
        <v>75</v>
      </c>
      <c r="H17" s="6" t="s">
        <v>52</v>
      </c>
      <c r="I17" s="8">
        <v>4</v>
      </c>
      <c r="J17" s="8">
        <v>1390</v>
      </c>
      <c r="K17" s="8">
        <v>20</v>
      </c>
      <c r="L17" s="9">
        <f t="shared" si="0"/>
        <v>4448</v>
      </c>
      <c r="M17" s="9">
        <f t="shared" si="1"/>
        <v>2891.2000000000003</v>
      </c>
      <c r="N17" s="9">
        <f t="shared" si="2"/>
        <v>1556.7999999999997</v>
      </c>
    </row>
    <row r="18" spans="1:14">
      <c r="A18" s="2" t="s">
        <v>76</v>
      </c>
      <c r="B18" s="3">
        <v>45307</v>
      </c>
      <c r="C18" s="2" t="s">
        <v>28</v>
      </c>
      <c r="D18" s="2" t="s">
        <v>29</v>
      </c>
      <c r="E18" s="2" t="s">
        <v>35</v>
      </c>
      <c r="F18" s="2" t="s">
        <v>36</v>
      </c>
      <c r="G18" s="2" t="s">
        <v>77</v>
      </c>
      <c r="H18" s="2" t="s">
        <v>45</v>
      </c>
      <c r="I18" s="4">
        <v>2</v>
      </c>
      <c r="J18" s="4">
        <v>240</v>
      </c>
      <c r="K18" s="4">
        <v>0</v>
      </c>
      <c r="L18" s="5">
        <f t="shared" si="0"/>
        <v>480</v>
      </c>
      <c r="M18" s="5">
        <f t="shared" si="1"/>
        <v>312</v>
      </c>
      <c r="N18" s="5">
        <f t="shared" si="2"/>
        <v>168</v>
      </c>
    </row>
    <row r="19" spans="1:14">
      <c r="A19" s="6" t="s">
        <v>78</v>
      </c>
      <c r="B19" s="7">
        <v>45308</v>
      </c>
      <c r="C19" s="6" t="s">
        <v>22</v>
      </c>
      <c r="D19" s="6" t="s">
        <v>23</v>
      </c>
      <c r="E19" s="6" t="s">
        <v>24</v>
      </c>
      <c r="F19" s="6" t="s">
        <v>63</v>
      </c>
      <c r="G19" s="6" t="s">
        <v>61</v>
      </c>
      <c r="H19" s="6" t="s">
        <v>20</v>
      </c>
      <c r="I19" s="8">
        <v>1</v>
      </c>
      <c r="J19" s="8">
        <v>1630</v>
      </c>
      <c r="K19" s="8">
        <v>5</v>
      </c>
      <c r="L19" s="9">
        <f t="shared" si="0"/>
        <v>1548.5</v>
      </c>
      <c r="M19" s="9">
        <f t="shared" si="1"/>
        <v>1006.5250000000001</v>
      </c>
      <c r="N19" s="9">
        <f t="shared" si="2"/>
        <v>541.97499999999991</v>
      </c>
    </row>
    <row r="20" spans="1:14">
      <c r="A20" s="2" t="s">
        <v>79</v>
      </c>
      <c r="B20" s="3">
        <v>45309</v>
      </c>
      <c r="C20" s="2" t="s">
        <v>22</v>
      </c>
      <c r="D20" s="2" t="s">
        <v>23</v>
      </c>
      <c r="E20" s="2" t="s">
        <v>17</v>
      </c>
      <c r="F20" s="2" t="s">
        <v>80</v>
      </c>
      <c r="G20" s="2" t="s">
        <v>81</v>
      </c>
      <c r="H20" s="2" t="s">
        <v>20</v>
      </c>
      <c r="I20" s="4">
        <v>2</v>
      </c>
      <c r="J20" s="4">
        <v>120</v>
      </c>
      <c r="K20" s="4">
        <v>5</v>
      </c>
      <c r="L20" s="5">
        <f t="shared" si="0"/>
        <v>228</v>
      </c>
      <c r="M20" s="5">
        <f t="shared" si="1"/>
        <v>148.20000000000002</v>
      </c>
      <c r="N20" s="5">
        <f t="shared" si="2"/>
        <v>79.799999999999983</v>
      </c>
    </row>
    <row r="21" spans="1:14">
      <c r="A21" s="6" t="s">
        <v>82</v>
      </c>
      <c r="B21" s="7">
        <v>45309</v>
      </c>
      <c r="C21" s="6" t="s">
        <v>22</v>
      </c>
      <c r="D21" s="6" t="s">
        <v>23</v>
      </c>
      <c r="E21" s="6" t="s">
        <v>24</v>
      </c>
      <c r="F21" s="6" t="s">
        <v>83</v>
      </c>
      <c r="G21" s="6" t="s">
        <v>84</v>
      </c>
      <c r="H21" s="6" t="s">
        <v>20</v>
      </c>
      <c r="I21" s="8">
        <v>1</v>
      </c>
      <c r="J21" s="8">
        <v>600</v>
      </c>
      <c r="K21" s="8">
        <v>10</v>
      </c>
      <c r="L21" s="9">
        <f t="shared" si="0"/>
        <v>540</v>
      </c>
      <c r="M21" s="9">
        <f t="shared" si="1"/>
        <v>351</v>
      </c>
      <c r="N21" s="9">
        <f t="shared" si="2"/>
        <v>189</v>
      </c>
    </row>
    <row r="22" spans="1:14">
      <c r="A22" s="2" t="s">
        <v>85</v>
      </c>
      <c r="B22" s="3">
        <v>45310</v>
      </c>
      <c r="C22" s="2" t="s">
        <v>22</v>
      </c>
      <c r="D22" s="2" t="s">
        <v>23</v>
      </c>
      <c r="E22" s="2" t="s">
        <v>24</v>
      </c>
      <c r="F22" s="2" t="s">
        <v>54</v>
      </c>
      <c r="G22" s="2" t="s">
        <v>86</v>
      </c>
      <c r="H22" s="2" t="s">
        <v>20</v>
      </c>
      <c r="I22" s="4">
        <v>2</v>
      </c>
      <c r="J22" s="4">
        <v>360</v>
      </c>
      <c r="K22" s="4">
        <v>10</v>
      </c>
      <c r="L22" s="5">
        <f t="shared" si="0"/>
        <v>648</v>
      </c>
      <c r="M22" s="5">
        <f t="shared" si="1"/>
        <v>421.2</v>
      </c>
      <c r="N22" s="5">
        <f t="shared" si="2"/>
        <v>226.8</v>
      </c>
    </row>
    <row r="23" spans="1:14">
      <c r="A23" s="6" t="s">
        <v>87</v>
      </c>
      <c r="B23" s="7">
        <v>45312</v>
      </c>
      <c r="C23" s="6" t="s">
        <v>33</v>
      </c>
      <c r="D23" s="6" t="s">
        <v>34</v>
      </c>
      <c r="E23" s="6" t="s">
        <v>24</v>
      </c>
      <c r="F23" s="6" t="s">
        <v>39</v>
      </c>
      <c r="G23" s="6" t="s">
        <v>58</v>
      </c>
      <c r="H23" s="6" t="s">
        <v>52</v>
      </c>
      <c r="I23" s="8">
        <v>4</v>
      </c>
      <c r="J23" s="8">
        <v>1240</v>
      </c>
      <c r="K23" s="8">
        <v>15</v>
      </c>
      <c r="L23" s="9">
        <f t="shared" si="0"/>
        <v>4216</v>
      </c>
      <c r="M23" s="9">
        <f t="shared" si="1"/>
        <v>2740.4</v>
      </c>
      <c r="N23" s="9">
        <f t="shared" si="2"/>
        <v>1475.6</v>
      </c>
    </row>
    <row r="24" spans="1:14">
      <c r="A24" s="2" t="s">
        <v>88</v>
      </c>
      <c r="B24" s="3">
        <v>45313</v>
      </c>
      <c r="C24" s="2" t="s">
        <v>28</v>
      </c>
      <c r="D24" s="2" t="s">
        <v>29</v>
      </c>
      <c r="E24" s="2" t="s">
        <v>24</v>
      </c>
      <c r="F24" s="2" t="s">
        <v>54</v>
      </c>
      <c r="G24" s="2" t="s">
        <v>89</v>
      </c>
      <c r="H24" s="2" t="s">
        <v>45</v>
      </c>
      <c r="I24" s="4">
        <v>1</v>
      </c>
      <c r="J24" s="4">
        <v>360</v>
      </c>
      <c r="K24" s="4">
        <v>0</v>
      </c>
      <c r="L24" s="5">
        <f t="shared" si="0"/>
        <v>360</v>
      </c>
      <c r="M24" s="5">
        <f t="shared" si="1"/>
        <v>234</v>
      </c>
      <c r="N24" s="5">
        <f t="shared" si="2"/>
        <v>126</v>
      </c>
    </row>
    <row r="25" spans="1:14">
      <c r="A25" s="6" t="s">
        <v>90</v>
      </c>
      <c r="B25" s="7">
        <v>45314</v>
      </c>
      <c r="C25" s="6" t="s">
        <v>22</v>
      </c>
      <c r="D25" s="6" t="s">
        <v>23</v>
      </c>
      <c r="E25" s="6" t="s">
        <v>17</v>
      </c>
      <c r="F25" s="6" t="s">
        <v>18</v>
      </c>
      <c r="G25" s="6" t="s">
        <v>91</v>
      </c>
      <c r="H25" s="6" t="s">
        <v>45</v>
      </c>
      <c r="I25" s="8">
        <v>2</v>
      </c>
      <c r="J25" s="8">
        <v>310</v>
      </c>
      <c r="K25" s="8">
        <v>5</v>
      </c>
      <c r="L25" s="9">
        <f t="shared" si="0"/>
        <v>589</v>
      </c>
      <c r="M25" s="9">
        <f t="shared" si="1"/>
        <v>382.85</v>
      </c>
      <c r="N25" s="9">
        <f t="shared" si="2"/>
        <v>206.14999999999998</v>
      </c>
    </row>
    <row r="26" spans="1:14">
      <c r="A26" s="2" t="s">
        <v>92</v>
      </c>
      <c r="B26" s="3">
        <v>45315</v>
      </c>
      <c r="C26" s="2" t="s">
        <v>15</v>
      </c>
      <c r="D26" s="2" t="s">
        <v>16</v>
      </c>
      <c r="E26" s="2" t="s">
        <v>24</v>
      </c>
      <c r="F26" s="2" t="s">
        <v>54</v>
      </c>
      <c r="G26" s="2" t="s">
        <v>93</v>
      </c>
      <c r="H26" s="2" t="s">
        <v>20</v>
      </c>
      <c r="I26" s="4">
        <v>2</v>
      </c>
      <c r="J26" s="4">
        <v>370</v>
      </c>
      <c r="K26" s="4">
        <v>15</v>
      </c>
      <c r="L26" s="5">
        <f t="shared" si="0"/>
        <v>629</v>
      </c>
      <c r="M26" s="5">
        <f t="shared" si="1"/>
        <v>408.85</v>
      </c>
      <c r="N26" s="5">
        <f t="shared" si="2"/>
        <v>220.14999999999998</v>
      </c>
    </row>
    <row r="27" spans="1:14">
      <c r="A27" s="6" t="s">
        <v>94</v>
      </c>
      <c r="B27" s="7">
        <v>45317</v>
      </c>
      <c r="C27" s="6" t="s">
        <v>22</v>
      </c>
      <c r="D27" s="6" t="s">
        <v>23</v>
      </c>
      <c r="E27" s="6" t="s">
        <v>35</v>
      </c>
      <c r="F27" s="6" t="s">
        <v>95</v>
      </c>
      <c r="G27" s="6" t="s">
        <v>96</v>
      </c>
      <c r="H27" s="6" t="s">
        <v>20</v>
      </c>
      <c r="I27" s="8">
        <v>1</v>
      </c>
      <c r="J27" s="8">
        <v>420</v>
      </c>
      <c r="K27" s="8">
        <v>15</v>
      </c>
      <c r="L27" s="9">
        <f t="shared" si="0"/>
        <v>357</v>
      </c>
      <c r="M27" s="9">
        <f t="shared" si="1"/>
        <v>232.05</v>
      </c>
      <c r="N27" s="9">
        <f t="shared" si="2"/>
        <v>124.94999999999999</v>
      </c>
    </row>
    <row r="28" spans="1:14">
      <c r="A28" s="2" t="s">
        <v>97</v>
      </c>
      <c r="B28" s="3">
        <v>45317</v>
      </c>
      <c r="C28" s="2" t="s">
        <v>33</v>
      </c>
      <c r="D28" s="2" t="s">
        <v>34</v>
      </c>
      <c r="E28" s="2" t="s">
        <v>35</v>
      </c>
      <c r="F28" s="2" t="s">
        <v>50</v>
      </c>
      <c r="G28" s="2" t="s">
        <v>98</v>
      </c>
      <c r="H28" s="2" t="s">
        <v>52</v>
      </c>
      <c r="I28" s="4">
        <v>4</v>
      </c>
      <c r="J28" s="4">
        <v>280</v>
      </c>
      <c r="K28" s="4">
        <v>20</v>
      </c>
      <c r="L28" s="5">
        <f t="shared" si="0"/>
        <v>896</v>
      </c>
      <c r="M28" s="5">
        <f t="shared" si="1"/>
        <v>582.4</v>
      </c>
      <c r="N28" s="5">
        <f t="shared" si="2"/>
        <v>313.60000000000002</v>
      </c>
    </row>
    <row r="29" spans="1:14">
      <c r="A29" s="6" t="s">
        <v>99</v>
      </c>
      <c r="B29" s="7">
        <v>45317</v>
      </c>
      <c r="C29" s="6" t="s">
        <v>33</v>
      </c>
      <c r="D29" s="6" t="s">
        <v>34</v>
      </c>
      <c r="E29" s="6" t="s">
        <v>24</v>
      </c>
      <c r="F29" s="6" t="s">
        <v>83</v>
      </c>
      <c r="G29" s="6" t="s">
        <v>100</v>
      </c>
      <c r="H29" s="6" t="s">
        <v>20</v>
      </c>
      <c r="I29" s="8">
        <v>2</v>
      </c>
      <c r="J29" s="8">
        <v>580</v>
      </c>
      <c r="K29" s="8">
        <v>5</v>
      </c>
      <c r="L29" s="9">
        <f t="shared" si="0"/>
        <v>1102</v>
      </c>
      <c r="M29" s="9">
        <f t="shared" si="1"/>
        <v>716.30000000000007</v>
      </c>
      <c r="N29" s="9">
        <f t="shared" si="2"/>
        <v>385.69999999999993</v>
      </c>
    </row>
    <row r="30" spans="1:14">
      <c r="A30" s="2" t="s">
        <v>101</v>
      </c>
      <c r="B30" s="3">
        <v>45318</v>
      </c>
      <c r="C30" s="2" t="s">
        <v>33</v>
      </c>
      <c r="D30" s="2" t="s">
        <v>34</v>
      </c>
      <c r="E30" s="2" t="s">
        <v>17</v>
      </c>
      <c r="F30" s="2" t="s">
        <v>102</v>
      </c>
      <c r="G30" s="2" t="s">
        <v>44</v>
      </c>
      <c r="H30" s="2" t="s">
        <v>45</v>
      </c>
      <c r="I30" s="4">
        <v>2</v>
      </c>
      <c r="J30" s="4">
        <v>180</v>
      </c>
      <c r="K30" s="4">
        <v>0</v>
      </c>
      <c r="L30" s="5">
        <f t="shared" si="0"/>
        <v>360</v>
      </c>
      <c r="M30" s="5">
        <f t="shared" si="1"/>
        <v>234</v>
      </c>
      <c r="N30" s="5">
        <f t="shared" si="2"/>
        <v>126</v>
      </c>
    </row>
    <row r="31" spans="1:14">
      <c r="A31" s="6" t="s">
        <v>103</v>
      </c>
      <c r="B31" s="7">
        <v>45319</v>
      </c>
      <c r="C31" s="6" t="s">
        <v>15</v>
      </c>
      <c r="D31" s="6" t="s">
        <v>16</v>
      </c>
      <c r="E31" s="6" t="s">
        <v>35</v>
      </c>
      <c r="F31" s="6" t="s">
        <v>104</v>
      </c>
      <c r="G31" s="6" t="s">
        <v>105</v>
      </c>
      <c r="H31" s="6" t="s">
        <v>20</v>
      </c>
      <c r="I31" s="8">
        <v>2</v>
      </c>
      <c r="J31" s="8">
        <v>1390</v>
      </c>
      <c r="K31" s="8">
        <v>15</v>
      </c>
      <c r="L31" s="9">
        <f t="shared" si="0"/>
        <v>2363</v>
      </c>
      <c r="M31" s="9">
        <f t="shared" si="1"/>
        <v>1535.95</v>
      </c>
      <c r="N31" s="9">
        <f t="shared" si="2"/>
        <v>827.05</v>
      </c>
    </row>
    <row r="32" spans="1:14">
      <c r="A32" s="2" t="s">
        <v>106</v>
      </c>
      <c r="B32" s="3">
        <v>45320</v>
      </c>
      <c r="C32" s="2" t="s">
        <v>107</v>
      </c>
      <c r="D32" s="2" t="s">
        <v>108</v>
      </c>
      <c r="E32" s="2" t="s">
        <v>35</v>
      </c>
      <c r="F32" s="2" t="s">
        <v>109</v>
      </c>
      <c r="G32" s="2" t="s">
        <v>110</v>
      </c>
      <c r="H32" s="2" t="s">
        <v>45</v>
      </c>
      <c r="I32" s="4">
        <v>2</v>
      </c>
      <c r="J32" s="4">
        <v>490</v>
      </c>
      <c r="K32" s="4">
        <v>10</v>
      </c>
      <c r="L32" s="5">
        <f t="shared" si="0"/>
        <v>882</v>
      </c>
      <c r="M32" s="5">
        <f t="shared" si="1"/>
        <v>573.30000000000007</v>
      </c>
      <c r="N32" s="5">
        <f t="shared" si="2"/>
        <v>308.69999999999993</v>
      </c>
    </row>
    <row r="33" spans="1:14">
      <c r="A33" s="6" t="s">
        <v>111</v>
      </c>
      <c r="B33" s="7">
        <v>45320</v>
      </c>
      <c r="C33" s="6" t="s">
        <v>22</v>
      </c>
      <c r="D33" s="6" t="s">
        <v>23</v>
      </c>
      <c r="E33" s="6" t="s">
        <v>24</v>
      </c>
      <c r="F33" s="6" t="s">
        <v>66</v>
      </c>
      <c r="G33" s="6" t="s">
        <v>44</v>
      </c>
      <c r="H33" s="6" t="s">
        <v>20</v>
      </c>
      <c r="I33" s="8">
        <v>3</v>
      </c>
      <c r="J33" s="8">
        <v>670</v>
      </c>
      <c r="K33" s="8">
        <v>15</v>
      </c>
      <c r="L33" s="9">
        <f t="shared" si="0"/>
        <v>1708.5</v>
      </c>
      <c r="M33" s="9">
        <f t="shared" si="1"/>
        <v>1110.5250000000001</v>
      </c>
      <c r="N33" s="9">
        <f t="shared" si="2"/>
        <v>597.97499999999991</v>
      </c>
    </row>
    <row r="34" spans="1:14">
      <c r="A34" s="2" t="s">
        <v>112</v>
      </c>
      <c r="B34" s="3">
        <v>45322</v>
      </c>
      <c r="C34" s="2" t="s">
        <v>22</v>
      </c>
      <c r="D34" s="2" t="s">
        <v>23</v>
      </c>
      <c r="E34" s="2" t="s">
        <v>42</v>
      </c>
      <c r="F34" s="2" t="s">
        <v>113</v>
      </c>
      <c r="G34" s="2" t="s">
        <v>114</v>
      </c>
      <c r="H34" s="2" t="s">
        <v>20</v>
      </c>
      <c r="I34" s="4">
        <v>1</v>
      </c>
      <c r="J34" s="4">
        <v>820</v>
      </c>
      <c r="K34" s="4">
        <v>5</v>
      </c>
      <c r="L34" s="5">
        <f t="shared" si="0"/>
        <v>779</v>
      </c>
      <c r="M34" s="5">
        <f t="shared" si="1"/>
        <v>506.35</v>
      </c>
      <c r="N34" s="5">
        <f t="shared" si="2"/>
        <v>272.64999999999998</v>
      </c>
    </row>
    <row r="35" spans="1:14">
      <c r="A35" s="6" t="s">
        <v>115</v>
      </c>
      <c r="B35" s="7">
        <v>45322</v>
      </c>
      <c r="C35" s="6" t="s">
        <v>22</v>
      </c>
      <c r="D35" s="6" t="s">
        <v>23</v>
      </c>
      <c r="E35" s="6" t="s">
        <v>17</v>
      </c>
      <c r="F35" s="6" t="s">
        <v>116</v>
      </c>
      <c r="G35" s="6" t="s">
        <v>117</v>
      </c>
      <c r="H35" s="6" t="s">
        <v>52</v>
      </c>
      <c r="I35" s="8">
        <v>2</v>
      </c>
      <c r="J35" s="8">
        <v>150</v>
      </c>
      <c r="K35" s="8">
        <v>20</v>
      </c>
      <c r="L35" s="9">
        <f t="shared" si="0"/>
        <v>240</v>
      </c>
      <c r="M35" s="9">
        <f t="shared" si="1"/>
        <v>156</v>
      </c>
      <c r="N35" s="9">
        <f t="shared" si="2"/>
        <v>84</v>
      </c>
    </row>
    <row r="36" spans="1:14">
      <c r="A36" s="2" t="s">
        <v>118</v>
      </c>
      <c r="B36" s="3">
        <v>45322</v>
      </c>
      <c r="C36" s="2" t="s">
        <v>15</v>
      </c>
      <c r="D36" s="2" t="s">
        <v>16</v>
      </c>
      <c r="E36" s="2" t="s">
        <v>24</v>
      </c>
      <c r="F36" s="2" t="s">
        <v>71</v>
      </c>
      <c r="G36" s="2" t="s">
        <v>119</v>
      </c>
      <c r="H36" s="2" t="s">
        <v>52</v>
      </c>
      <c r="I36" s="4">
        <v>5</v>
      </c>
      <c r="J36" s="4">
        <v>950</v>
      </c>
      <c r="K36" s="4">
        <v>15</v>
      </c>
      <c r="L36" s="5">
        <f t="shared" si="0"/>
        <v>4037.5</v>
      </c>
      <c r="M36" s="5">
        <f t="shared" si="1"/>
        <v>2624.375</v>
      </c>
      <c r="N36" s="5">
        <f t="shared" si="2"/>
        <v>1413.125</v>
      </c>
    </row>
    <row r="37" spans="1:14">
      <c r="A37" s="6" t="s">
        <v>120</v>
      </c>
      <c r="B37" s="7">
        <v>45323</v>
      </c>
      <c r="C37" s="6" t="s">
        <v>33</v>
      </c>
      <c r="D37" s="6" t="s">
        <v>34</v>
      </c>
      <c r="E37" s="6" t="s">
        <v>42</v>
      </c>
      <c r="F37" s="6" t="s">
        <v>121</v>
      </c>
      <c r="G37" s="6" t="s">
        <v>89</v>
      </c>
      <c r="H37" s="6" t="s">
        <v>52</v>
      </c>
      <c r="I37" s="8">
        <v>2</v>
      </c>
      <c r="J37" s="8">
        <v>1930</v>
      </c>
      <c r="K37" s="8">
        <v>10</v>
      </c>
      <c r="L37" s="9">
        <f t="shared" si="0"/>
        <v>3474</v>
      </c>
      <c r="M37" s="9">
        <f t="shared" si="1"/>
        <v>2258.1</v>
      </c>
      <c r="N37" s="9">
        <f t="shared" si="2"/>
        <v>1215.9000000000001</v>
      </c>
    </row>
    <row r="38" spans="1:14">
      <c r="A38" s="2" t="s">
        <v>122</v>
      </c>
      <c r="B38" s="3">
        <v>45323</v>
      </c>
      <c r="C38" s="2" t="s">
        <v>28</v>
      </c>
      <c r="D38" s="2" t="s">
        <v>29</v>
      </c>
      <c r="E38" s="2" t="s">
        <v>17</v>
      </c>
      <c r="F38" s="2" t="s">
        <v>30</v>
      </c>
      <c r="G38" s="2" t="s">
        <v>123</v>
      </c>
      <c r="H38" s="2" t="s">
        <v>45</v>
      </c>
      <c r="I38" s="4">
        <v>1</v>
      </c>
      <c r="J38" s="4">
        <v>270</v>
      </c>
      <c r="K38" s="4">
        <v>10</v>
      </c>
      <c r="L38" s="5">
        <f t="shared" si="0"/>
        <v>243</v>
      </c>
      <c r="M38" s="5">
        <f t="shared" si="1"/>
        <v>157.95000000000002</v>
      </c>
      <c r="N38" s="5">
        <f t="shared" si="2"/>
        <v>85.049999999999983</v>
      </c>
    </row>
    <row r="39" spans="1:14">
      <c r="A39" s="6" t="s">
        <v>124</v>
      </c>
      <c r="B39" s="7">
        <v>45323</v>
      </c>
      <c r="C39" s="6" t="s">
        <v>33</v>
      </c>
      <c r="D39" s="6" t="s">
        <v>34</v>
      </c>
      <c r="E39" s="6" t="s">
        <v>24</v>
      </c>
      <c r="F39" s="6" t="s">
        <v>125</v>
      </c>
      <c r="G39" s="6" t="s">
        <v>126</v>
      </c>
      <c r="H39" s="6" t="s">
        <v>45</v>
      </c>
      <c r="I39" s="8">
        <v>4</v>
      </c>
      <c r="J39" s="8">
        <v>480</v>
      </c>
      <c r="K39" s="8">
        <v>10</v>
      </c>
      <c r="L39" s="9">
        <f t="shared" si="0"/>
        <v>1728</v>
      </c>
      <c r="M39" s="9">
        <f t="shared" si="1"/>
        <v>1123.2</v>
      </c>
      <c r="N39" s="9">
        <f t="shared" si="2"/>
        <v>604.79999999999995</v>
      </c>
    </row>
    <row r="40" spans="1:14">
      <c r="A40" s="2" t="s">
        <v>127</v>
      </c>
      <c r="B40" s="3">
        <v>45324</v>
      </c>
      <c r="C40" s="2" t="s">
        <v>28</v>
      </c>
      <c r="D40" s="2" t="s">
        <v>29</v>
      </c>
      <c r="E40" s="2" t="s">
        <v>35</v>
      </c>
      <c r="F40" s="2" t="s">
        <v>109</v>
      </c>
      <c r="G40" s="2" t="s">
        <v>128</v>
      </c>
      <c r="H40" s="2" t="s">
        <v>20</v>
      </c>
      <c r="I40" s="4">
        <v>1</v>
      </c>
      <c r="J40" s="4">
        <v>450</v>
      </c>
      <c r="K40" s="4">
        <v>15</v>
      </c>
      <c r="L40" s="5">
        <f t="shared" si="0"/>
        <v>382.5</v>
      </c>
      <c r="M40" s="5">
        <f t="shared" si="1"/>
        <v>248.625</v>
      </c>
      <c r="N40" s="5">
        <f t="shared" si="2"/>
        <v>133.875</v>
      </c>
    </row>
    <row r="41" spans="1:14">
      <c r="A41" s="6" t="s">
        <v>129</v>
      </c>
      <c r="B41" s="7">
        <v>45326</v>
      </c>
      <c r="C41" s="6" t="s">
        <v>15</v>
      </c>
      <c r="D41" s="6" t="s">
        <v>16</v>
      </c>
      <c r="E41" s="6" t="s">
        <v>42</v>
      </c>
      <c r="F41" s="6" t="s">
        <v>43</v>
      </c>
      <c r="G41" s="6" t="s">
        <v>130</v>
      </c>
      <c r="H41" s="6" t="s">
        <v>20</v>
      </c>
      <c r="I41" s="8">
        <v>3</v>
      </c>
      <c r="J41" s="8">
        <v>3450</v>
      </c>
      <c r="K41" s="8">
        <v>15</v>
      </c>
      <c r="L41" s="9">
        <f t="shared" si="0"/>
        <v>8797.5</v>
      </c>
      <c r="M41" s="9">
        <f t="shared" si="1"/>
        <v>5718.375</v>
      </c>
      <c r="N41" s="9">
        <f t="shared" si="2"/>
        <v>3079.125</v>
      </c>
    </row>
    <row r="42" spans="1:14">
      <c r="A42" s="2" t="s">
        <v>131</v>
      </c>
      <c r="B42" s="3">
        <v>45327</v>
      </c>
      <c r="C42" s="2" t="s">
        <v>15</v>
      </c>
      <c r="D42" s="2" t="s">
        <v>16</v>
      </c>
      <c r="E42" s="2" t="s">
        <v>42</v>
      </c>
      <c r="F42" s="2" t="s">
        <v>113</v>
      </c>
      <c r="G42" s="2" t="s">
        <v>132</v>
      </c>
      <c r="H42" s="2" t="s">
        <v>20</v>
      </c>
      <c r="I42" s="4">
        <v>1</v>
      </c>
      <c r="J42" s="4">
        <v>750</v>
      </c>
      <c r="K42" s="4">
        <v>10</v>
      </c>
      <c r="L42" s="5">
        <f t="shared" si="0"/>
        <v>675</v>
      </c>
      <c r="M42" s="5">
        <f t="shared" si="1"/>
        <v>438.75</v>
      </c>
      <c r="N42" s="5">
        <f t="shared" si="2"/>
        <v>236.25</v>
      </c>
    </row>
    <row r="43" spans="1:14">
      <c r="A43" s="6" t="s">
        <v>133</v>
      </c>
      <c r="B43" s="7">
        <v>45328</v>
      </c>
      <c r="C43" s="6" t="s">
        <v>15</v>
      </c>
      <c r="D43" s="6" t="s">
        <v>16</v>
      </c>
      <c r="E43" s="6" t="s">
        <v>24</v>
      </c>
      <c r="F43" s="6" t="s">
        <v>66</v>
      </c>
      <c r="G43" s="6" t="s">
        <v>134</v>
      </c>
      <c r="H43" s="6" t="s">
        <v>45</v>
      </c>
      <c r="I43" s="8">
        <v>1</v>
      </c>
      <c r="J43" s="8">
        <v>760</v>
      </c>
      <c r="K43" s="8">
        <v>10</v>
      </c>
      <c r="L43" s="9">
        <f t="shared" si="0"/>
        <v>684</v>
      </c>
      <c r="M43" s="9">
        <f t="shared" si="1"/>
        <v>444.6</v>
      </c>
      <c r="N43" s="9">
        <f t="shared" si="2"/>
        <v>239.39999999999998</v>
      </c>
    </row>
    <row r="44" spans="1:14">
      <c r="A44" s="2" t="s">
        <v>135</v>
      </c>
      <c r="B44" s="3">
        <v>45329</v>
      </c>
      <c r="C44" s="2" t="s">
        <v>28</v>
      </c>
      <c r="D44" s="2" t="s">
        <v>29</v>
      </c>
      <c r="E44" s="2" t="s">
        <v>35</v>
      </c>
      <c r="F44" s="2" t="s">
        <v>109</v>
      </c>
      <c r="G44" s="2" t="s">
        <v>75</v>
      </c>
      <c r="H44" s="2" t="s">
        <v>20</v>
      </c>
      <c r="I44" s="4">
        <v>2</v>
      </c>
      <c r="J44" s="4">
        <v>420</v>
      </c>
      <c r="K44" s="4">
        <v>5</v>
      </c>
      <c r="L44" s="5">
        <f t="shared" si="0"/>
        <v>798</v>
      </c>
      <c r="M44" s="5">
        <f t="shared" si="1"/>
        <v>518.70000000000005</v>
      </c>
      <c r="N44" s="5">
        <f t="shared" si="2"/>
        <v>279.29999999999995</v>
      </c>
    </row>
    <row r="45" spans="1:14">
      <c r="A45" s="6" t="s">
        <v>136</v>
      </c>
      <c r="B45" s="7">
        <v>45330</v>
      </c>
      <c r="C45" s="6" t="s">
        <v>28</v>
      </c>
      <c r="D45" s="6" t="s">
        <v>29</v>
      </c>
      <c r="E45" s="6" t="s">
        <v>17</v>
      </c>
      <c r="F45" s="6" t="s">
        <v>102</v>
      </c>
      <c r="G45" s="6" t="s">
        <v>137</v>
      </c>
      <c r="H45" s="6" t="s">
        <v>20</v>
      </c>
      <c r="I45" s="8">
        <v>4</v>
      </c>
      <c r="J45" s="8">
        <v>200</v>
      </c>
      <c r="K45" s="8">
        <v>15</v>
      </c>
      <c r="L45" s="9">
        <f t="shared" si="0"/>
        <v>680</v>
      </c>
      <c r="M45" s="9">
        <f t="shared" si="1"/>
        <v>442</v>
      </c>
      <c r="N45" s="9">
        <f t="shared" si="2"/>
        <v>238</v>
      </c>
    </row>
    <row r="46" spans="1:14">
      <c r="A46" s="2" t="s">
        <v>138</v>
      </c>
      <c r="B46" s="3">
        <v>45330</v>
      </c>
      <c r="C46" s="2" t="s">
        <v>33</v>
      </c>
      <c r="D46" s="2" t="s">
        <v>34</v>
      </c>
      <c r="E46" s="2" t="s">
        <v>42</v>
      </c>
      <c r="F46" s="2" t="s">
        <v>74</v>
      </c>
      <c r="G46" s="2" t="s">
        <v>139</v>
      </c>
      <c r="H46" s="2" t="s">
        <v>45</v>
      </c>
      <c r="I46" s="4">
        <v>1</v>
      </c>
      <c r="J46" s="4">
        <v>1410</v>
      </c>
      <c r="K46" s="4">
        <v>0</v>
      </c>
      <c r="L46" s="5">
        <f t="shared" si="0"/>
        <v>1410</v>
      </c>
      <c r="M46" s="5">
        <f t="shared" si="1"/>
        <v>916.5</v>
      </c>
      <c r="N46" s="5">
        <f t="shared" si="2"/>
        <v>493.5</v>
      </c>
    </row>
    <row r="47" spans="1:14">
      <c r="A47" s="6" t="s">
        <v>140</v>
      </c>
      <c r="B47" s="7">
        <v>45331</v>
      </c>
      <c r="C47" s="6" t="s">
        <v>22</v>
      </c>
      <c r="D47" s="6" t="s">
        <v>23</v>
      </c>
      <c r="E47" s="6" t="s">
        <v>17</v>
      </c>
      <c r="F47" s="6" t="s">
        <v>116</v>
      </c>
      <c r="G47" s="6" t="s">
        <v>141</v>
      </c>
      <c r="H47" s="6" t="s">
        <v>45</v>
      </c>
      <c r="I47" s="8">
        <v>3</v>
      </c>
      <c r="J47" s="8">
        <v>150</v>
      </c>
      <c r="K47" s="8">
        <v>0</v>
      </c>
      <c r="L47" s="9">
        <f t="shared" si="0"/>
        <v>450</v>
      </c>
      <c r="M47" s="9">
        <f t="shared" si="1"/>
        <v>292.5</v>
      </c>
      <c r="N47" s="9">
        <f t="shared" si="2"/>
        <v>157.5</v>
      </c>
    </row>
    <row r="48" spans="1:14">
      <c r="A48" s="2" t="s">
        <v>142</v>
      </c>
      <c r="B48" s="3">
        <v>45332</v>
      </c>
      <c r="C48" s="2" t="s">
        <v>28</v>
      </c>
      <c r="D48" s="2" t="s">
        <v>29</v>
      </c>
      <c r="E48" s="2" t="s">
        <v>17</v>
      </c>
      <c r="F48" s="2" t="s">
        <v>102</v>
      </c>
      <c r="G48" s="2" t="s">
        <v>75</v>
      </c>
      <c r="H48" s="2" t="s">
        <v>45</v>
      </c>
      <c r="I48" s="4">
        <v>2</v>
      </c>
      <c r="J48" s="4">
        <v>190</v>
      </c>
      <c r="K48" s="4">
        <v>0</v>
      </c>
      <c r="L48" s="5">
        <f t="shared" si="0"/>
        <v>380</v>
      </c>
      <c r="M48" s="5">
        <f t="shared" si="1"/>
        <v>247</v>
      </c>
      <c r="N48" s="5">
        <f t="shared" si="2"/>
        <v>133</v>
      </c>
    </row>
    <row r="49" spans="1:14">
      <c r="A49" s="6" t="s">
        <v>143</v>
      </c>
      <c r="B49" s="7">
        <v>45332</v>
      </c>
      <c r="C49" s="6" t="s">
        <v>33</v>
      </c>
      <c r="D49" s="6" t="s">
        <v>34</v>
      </c>
      <c r="E49" s="6" t="s">
        <v>35</v>
      </c>
      <c r="F49" s="6" t="s">
        <v>57</v>
      </c>
      <c r="G49" s="6" t="s">
        <v>144</v>
      </c>
      <c r="H49" s="6" t="s">
        <v>45</v>
      </c>
      <c r="I49" s="8">
        <v>2</v>
      </c>
      <c r="J49" s="8">
        <v>910</v>
      </c>
      <c r="K49" s="8">
        <v>0</v>
      </c>
      <c r="L49" s="9">
        <f t="shared" si="0"/>
        <v>1820</v>
      </c>
      <c r="M49" s="9">
        <f t="shared" si="1"/>
        <v>1183</v>
      </c>
      <c r="N49" s="9">
        <f t="shared" si="2"/>
        <v>637</v>
      </c>
    </row>
    <row r="50" spans="1:14">
      <c r="A50" s="2" t="s">
        <v>145</v>
      </c>
      <c r="B50" s="3">
        <v>45332</v>
      </c>
      <c r="C50" s="2" t="s">
        <v>22</v>
      </c>
      <c r="D50" s="2" t="s">
        <v>23</v>
      </c>
      <c r="E50" s="2" t="s">
        <v>24</v>
      </c>
      <c r="F50" s="2" t="s">
        <v>71</v>
      </c>
      <c r="G50" s="2" t="s">
        <v>146</v>
      </c>
      <c r="H50" s="2" t="s">
        <v>20</v>
      </c>
      <c r="I50" s="4">
        <v>3</v>
      </c>
      <c r="J50" s="4">
        <v>910</v>
      </c>
      <c r="K50" s="4">
        <v>15</v>
      </c>
      <c r="L50" s="5">
        <f t="shared" si="0"/>
        <v>2320.5</v>
      </c>
      <c r="M50" s="5">
        <f t="shared" si="1"/>
        <v>1508.325</v>
      </c>
      <c r="N50" s="5">
        <f t="shared" si="2"/>
        <v>812.17499999999995</v>
      </c>
    </row>
    <row r="51" spans="1:14">
      <c r="A51" s="6" t="s">
        <v>147</v>
      </c>
      <c r="B51" s="7">
        <v>45333</v>
      </c>
      <c r="C51" s="6" t="s">
        <v>107</v>
      </c>
      <c r="D51" s="6" t="s">
        <v>108</v>
      </c>
      <c r="E51" s="6" t="s">
        <v>24</v>
      </c>
      <c r="F51" s="6" t="s">
        <v>39</v>
      </c>
      <c r="G51" s="6" t="s">
        <v>148</v>
      </c>
      <c r="H51" s="6" t="s">
        <v>20</v>
      </c>
      <c r="I51" s="8">
        <v>1</v>
      </c>
      <c r="J51" s="8">
        <v>1170</v>
      </c>
      <c r="K51" s="8">
        <v>10</v>
      </c>
      <c r="L51" s="9">
        <f t="shared" si="0"/>
        <v>1053</v>
      </c>
      <c r="M51" s="9">
        <f t="shared" si="1"/>
        <v>684.45</v>
      </c>
      <c r="N51" s="9">
        <f t="shared" si="2"/>
        <v>368.54999999999995</v>
      </c>
    </row>
    <row r="52" spans="1:14">
      <c r="A52" s="2" t="s">
        <v>149</v>
      </c>
      <c r="B52" s="3">
        <v>45335</v>
      </c>
      <c r="C52" s="2" t="s">
        <v>33</v>
      </c>
      <c r="D52" s="2" t="s">
        <v>34</v>
      </c>
      <c r="E52" s="2" t="s">
        <v>24</v>
      </c>
      <c r="F52" s="2" t="s">
        <v>54</v>
      </c>
      <c r="G52" s="2" t="s">
        <v>150</v>
      </c>
      <c r="H52" s="2" t="s">
        <v>52</v>
      </c>
      <c r="I52" s="4">
        <v>1</v>
      </c>
      <c r="J52" s="4">
        <v>330</v>
      </c>
      <c r="K52" s="4">
        <v>10</v>
      </c>
      <c r="L52" s="5">
        <f t="shared" si="0"/>
        <v>297</v>
      </c>
      <c r="M52" s="5">
        <f t="shared" si="1"/>
        <v>193.05</v>
      </c>
      <c r="N52" s="5">
        <f t="shared" si="2"/>
        <v>103.94999999999999</v>
      </c>
    </row>
    <row r="53" spans="1:14">
      <c r="A53" s="6" t="s">
        <v>151</v>
      </c>
      <c r="B53" s="7">
        <v>45336</v>
      </c>
      <c r="C53" s="6" t="s">
        <v>22</v>
      </c>
      <c r="D53" s="6" t="s">
        <v>23</v>
      </c>
      <c r="E53" s="6" t="s">
        <v>35</v>
      </c>
      <c r="F53" s="6" t="s">
        <v>60</v>
      </c>
      <c r="G53" s="6" t="s">
        <v>152</v>
      </c>
      <c r="H53" s="6" t="s">
        <v>45</v>
      </c>
      <c r="I53" s="8">
        <v>2</v>
      </c>
      <c r="J53" s="8">
        <v>630</v>
      </c>
      <c r="K53" s="8">
        <v>10</v>
      </c>
      <c r="L53" s="9">
        <f t="shared" si="0"/>
        <v>1134</v>
      </c>
      <c r="M53" s="9">
        <f t="shared" si="1"/>
        <v>737.1</v>
      </c>
      <c r="N53" s="9">
        <f t="shared" si="2"/>
        <v>396.9</v>
      </c>
    </row>
    <row r="54" spans="1:14">
      <c r="A54" s="2" t="s">
        <v>153</v>
      </c>
      <c r="B54" s="3">
        <v>45336</v>
      </c>
      <c r="C54" s="2" t="s">
        <v>33</v>
      </c>
      <c r="D54" s="2" t="s">
        <v>34</v>
      </c>
      <c r="E54" s="2" t="s">
        <v>35</v>
      </c>
      <c r="F54" s="2" t="s">
        <v>104</v>
      </c>
      <c r="G54" s="2" t="s">
        <v>154</v>
      </c>
      <c r="H54" s="2" t="s">
        <v>20</v>
      </c>
      <c r="I54" s="4">
        <v>1</v>
      </c>
      <c r="J54" s="4">
        <v>1360</v>
      </c>
      <c r="K54" s="4">
        <v>5</v>
      </c>
      <c r="L54" s="5">
        <f t="shared" si="0"/>
        <v>1292</v>
      </c>
      <c r="M54" s="5">
        <f t="shared" si="1"/>
        <v>839.80000000000007</v>
      </c>
      <c r="N54" s="5">
        <f t="shared" si="2"/>
        <v>452.19999999999993</v>
      </c>
    </row>
    <row r="55" spans="1:14">
      <c r="A55" s="6" t="s">
        <v>155</v>
      </c>
      <c r="B55" s="7">
        <v>45336</v>
      </c>
      <c r="C55" s="6" t="s">
        <v>33</v>
      </c>
      <c r="D55" s="6" t="s">
        <v>34</v>
      </c>
      <c r="E55" s="6" t="s">
        <v>17</v>
      </c>
      <c r="F55" s="6" t="s">
        <v>116</v>
      </c>
      <c r="G55" s="6" t="s">
        <v>156</v>
      </c>
      <c r="H55" s="6" t="s">
        <v>52</v>
      </c>
      <c r="I55" s="8">
        <v>4</v>
      </c>
      <c r="J55" s="8">
        <v>150</v>
      </c>
      <c r="K55" s="8">
        <v>20</v>
      </c>
      <c r="L55" s="9">
        <f t="shared" si="0"/>
        <v>480</v>
      </c>
      <c r="M55" s="9">
        <f t="shared" si="1"/>
        <v>312</v>
      </c>
      <c r="N55" s="9">
        <f t="shared" si="2"/>
        <v>168</v>
      </c>
    </row>
    <row r="56" spans="1:14">
      <c r="A56" s="2" t="s">
        <v>157</v>
      </c>
      <c r="B56" s="3">
        <v>45336</v>
      </c>
      <c r="C56" s="2" t="s">
        <v>15</v>
      </c>
      <c r="D56" s="2" t="s">
        <v>16</v>
      </c>
      <c r="E56" s="2" t="s">
        <v>42</v>
      </c>
      <c r="F56" s="2" t="s">
        <v>74</v>
      </c>
      <c r="G56" s="2" t="s">
        <v>158</v>
      </c>
      <c r="H56" s="2" t="s">
        <v>45</v>
      </c>
      <c r="I56" s="4">
        <v>3</v>
      </c>
      <c r="J56" s="4">
        <v>1380</v>
      </c>
      <c r="K56" s="4">
        <v>5</v>
      </c>
      <c r="L56" s="5">
        <f t="shared" si="0"/>
        <v>3933</v>
      </c>
      <c r="M56" s="5">
        <f t="shared" si="1"/>
        <v>2556.4500000000003</v>
      </c>
      <c r="N56" s="5">
        <f t="shared" si="2"/>
        <v>1376.5499999999997</v>
      </c>
    </row>
    <row r="57" spans="1:14">
      <c r="A57" s="6" t="s">
        <v>159</v>
      </c>
      <c r="B57" s="7">
        <v>45337</v>
      </c>
      <c r="C57" s="6" t="s">
        <v>33</v>
      </c>
      <c r="D57" s="6" t="s">
        <v>34</v>
      </c>
      <c r="E57" s="6" t="s">
        <v>17</v>
      </c>
      <c r="F57" s="6" t="s">
        <v>102</v>
      </c>
      <c r="G57" s="6" t="s">
        <v>160</v>
      </c>
      <c r="H57" s="6" t="s">
        <v>20</v>
      </c>
      <c r="I57" s="8">
        <v>2</v>
      </c>
      <c r="J57" s="8">
        <v>180</v>
      </c>
      <c r="K57" s="8">
        <v>5</v>
      </c>
      <c r="L57" s="9">
        <f t="shared" si="0"/>
        <v>342</v>
      </c>
      <c r="M57" s="9">
        <f t="shared" si="1"/>
        <v>222.3</v>
      </c>
      <c r="N57" s="9">
        <f t="shared" si="2"/>
        <v>119.69999999999999</v>
      </c>
    </row>
    <row r="58" spans="1:14">
      <c r="A58" s="2" t="s">
        <v>161</v>
      </c>
      <c r="B58" s="3">
        <v>45338</v>
      </c>
      <c r="C58" s="2" t="s">
        <v>22</v>
      </c>
      <c r="D58" s="2" t="s">
        <v>23</v>
      </c>
      <c r="E58" s="2" t="s">
        <v>24</v>
      </c>
      <c r="F58" s="2" t="s">
        <v>25</v>
      </c>
      <c r="G58" s="2" t="s">
        <v>105</v>
      </c>
      <c r="H58" s="2" t="s">
        <v>45</v>
      </c>
      <c r="I58" s="4">
        <v>1</v>
      </c>
      <c r="J58" s="4">
        <v>740</v>
      </c>
      <c r="K58" s="4">
        <v>5</v>
      </c>
      <c r="L58" s="5">
        <f t="shared" si="0"/>
        <v>703</v>
      </c>
      <c r="M58" s="5">
        <f t="shared" si="1"/>
        <v>456.95</v>
      </c>
      <c r="N58" s="5">
        <f t="shared" si="2"/>
        <v>246.05</v>
      </c>
    </row>
    <row r="59" spans="1:14">
      <c r="A59" s="6" t="s">
        <v>162</v>
      </c>
      <c r="B59" s="7">
        <v>45338</v>
      </c>
      <c r="C59" s="6" t="s">
        <v>28</v>
      </c>
      <c r="D59" s="6" t="s">
        <v>29</v>
      </c>
      <c r="E59" s="6" t="s">
        <v>35</v>
      </c>
      <c r="F59" s="6" t="s">
        <v>104</v>
      </c>
      <c r="G59" s="6" t="s">
        <v>58</v>
      </c>
      <c r="H59" s="6" t="s">
        <v>45</v>
      </c>
      <c r="I59" s="8">
        <v>1</v>
      </c>
      <c r="J59" s="8">
        <v>1220</v>
      </c>
      <c r="K59" s="8">
        <v>10</v>
      </c>
      <c r="L59" s="9">
        <f t="shared" si="0"/>
        <v>1098</v>
      </c>
      <c r="M59" s="9">
        <f t="shared" si="1"/>
        <v>713.7</v>
      </c>
      <c r="N59" s="9">
        <f t="shared" si="2"/>
        <v>384.29999999999995</v>
      </c>
    </row>
    <row r="60" spans="1:14">
      <c r="A60" s="2" t="s">
        <v>163</v>
      </c>
      <c r="B60" s="3">
        <v>45339</v>
      </c>
      <c r="C60" s="2" t="s">
        <v>22</v>
      </c>
      <c r="D60" s="2" t="s">
        <v>23</v>
      </c>
      <c r="E60" s="2" t="s">
        <v>24</v>
      </c>
      <c r="F60" s="2" t="s">
        <v>125</v>
      </c>
      <c r="G60" s="2" t="s">
        <v>164</v>
      </c>
      <c r="H60" s="2" t="s">
        <v>20</v>
      </c>
      <c r="I60" s="4">
        <v>1</v>
      </c>
      <c r="J60" s="4">
        <v>480</v>
      </c>
      <c r="K60" s="4">
        <v>5</v>
      </c>
      <c r="L60" s="5">
        <f t="shared" si="0"/>
        <v>456</v>
      </c>
      <c r="M60" s="5">
        <f t="shared" si="1"/>
        <v>296.40000000000003</v>
      </c>
      <c r="N60" s="5">
        <f t="shared" si="2"/>
        <v>159.59999999999997</v>
      </c>
    </row>
    <row r="61" spans="1:14">
      <c r="A61" s="6" t="s">
        <v>165</v>
      </c>
      <c r="B61" s="7">
        <v>45339</v>
      </c>
      <c r="C61" s="6" t="s">
        <v>15</v>
      </c>
      <c r="D61" s="6" t="s">
        <v>16</v>
      </c>
      <c r="E61" s="6" t="s">
        <v>24</v>
      </c>
      <c r="F61" s="6" t="s">
        <v>25</v>
      </c>
      <c r="G61" s="6" t="s">
        <v>61</v>
      </c>
      <c r="H61" s="6" t="s">
        <v>20</v>
      </c>
      <c r="I61" s="8">
        <v>3</v>
      </c>
      <c r="J61" s="8">
        <v>780</v>
      </c>
      <c r="K61" s="8">
        <v>15</v>
      </c>
      <c r="L61" s="9">
        <f t="shared" si="0"/>
        <v>1989</v>
      </c>
      <c r="M61" s="9">
        <f t="shared" si="1"/>
        <v>1292.8500000000001</v>
      </c>
      <c r="N61" s="9">
        <f t="shared" si="2"/>
        <v>696.14999999999986</v>
      </c>
    </row>
    <row r="62" spans="1:14">
      <c r="A62" s="2" t="s">
        <v>166</v>
      </c>
      <c r="B62" s="3">
        <v>45340</v>
      </c>
      <c r="C62" s="2" t="s">
        <v>15</v>
      </c>
      <c r="D62" s="2" t="s">
        <v>16</v>
      </c>
      <c r="E62" s="2" t="s">
        <v>24</v>
      </c>
      <c r="F62" s="2" t="s">
        <v>63</v>
      </c>
      <c r="G62" s="2" t="s">
        <v>167</v>
      </c>
      <c r="H62" s="2" t="s">
        <v>45</v>
      </c>
      <c r="I62" s="4">
        <v>2</v>
      </c>
      <c r="J62" s="4">
        <v>1370</v>
      </c>
      <c r="K62" s="4">
        <v>0</v>
      </c>
      <c r="L62" s="5">
        <f t="shared" si="0"/>
        <v>2740</v>
      </c>
      <c r="M62" s="5">
        <f t="shared" si="1"/>
        <v>1781</v>
      </c>
      <c r="N62" s="5">
        <f t="shared" si="2"/>
        <v>959</v>
      </c>
    </row>
    <row r="63" spans="1:14">
      <c r="A63" s="6" t="s">
        <v>168</v>
      </c>
      <c r="B63" s="7">
        <v>45340</v>
      </c>
      <c r="C63" s="6" t="s">
        <v>22</v>
      </c>
      <c r="D63" s="6" t="s">
        <v>23</v>
      </c>
      <c r="E63" s="6" t="s">
        <v>24</v>
      </c>
      <c r="F63" s="6" t="s">
        <v>25</v>
      </c>
      <c r="G63" s="6" t="s">
        <v>154</v>
      </c>
      <c r="H63" s="6" t="s">
        <v>45</v>
      </c>
      <c r="I63" s="8">
        <v>2</v>
      </c>
      <c r="J63" s="8">
        <v>690</v>
      </c>
      <c r="K63" s="8">
        <v>0</v>
      </c>
      <c r="L63" s="9">
        <f t="shared" si="0"/>
        <v>1380</v>
      </c>
      <c r="M63" s="9">
        <f t="shared" si="1"/>
        <v>897</v>
      </c>
      <c r="N63" s="9">
        <f t="shared" si="2"/>
        <v>483</v>
      </c>
    </row>
    <row r="64" spans="1:14">
      <c r="A64" s="2" t="s">
        <v>169</v>
      </c>
      <c r="B64" s="3">
        <v>45342</v>
      </c>
      <c r="C64" s="2" t="s">
        <v>15</v>
      </c>
      <c r="D64" s="2" t="s">
        <v>16</v>
      </c>
      <c r="E64" s="2" t="s">
        <v>35</v>
      </c>
      <c r="F64" s="2" t="s">
        <v>109</v>
      </c>
      <c r="G64" s="2" t="s">
        <v>128</v>
      </c>
      <c r="H64" s="2" t="s">
        <v>45</v>
      </c>
      <c r="I64" s="4">
        <v>1</v>
      </c>
      <c r="J64" s="4">
        <v>480</v>
      </c>
      <c r="K64" s="4">
        <v>5</v>
      </c>
      <c r="L64" s="5">
        <f t="shared" si="0"/>
        <v>456</v>
      </c>
      <c r="M64" s="5">
        <f t="shared" si="1"/>
        <v>296.40000000000003</v>
      </c>
      <c r="N64" s="5">
        <f t="shared" si="2"/>
        <v>159.59999999999997</v>
      </c>
    </row>
    <row r="65" spans="1:14">
      <c r="A65" s="6" t="s">
        <v>170</v>
      </c>
      <c r="B65" s="7">
        <v>45342</v>
      </c>
      <c r="C65" s="6" t="s">
        <v>15</v>
      </c>
      <c r="D65" s="6" t="s">
        <v>16</v>
      </c>
      <c r="E65" s="6" t="s">
        <v>42</v>
      </c>
      <c r="F65" s="6" t="s">
        <v>43</v>
      </c>
      <c r="G65" s="6" t="s">
        <v>171</v>
      </c>
      <c r="H65" s="6" t="s">
        <v>45</v>
      </c>
      <c r="I65" s="8">
        <v>2</v>
      </c>
      <c r="J65" s="8">
        <v>3800</v>
      </c>
      <c r="K65" s="8">
        <v>0</v>
      </c>
      <c r="L65" s="9">
        <f t="shared" si="0"/>
        <v>7600</v>
      </c>
      <c r="M65" s="9">
        <f t="shared" si="1"/>
        <v>4940</v>
      </c>
      <c r="N65" s="9">
        <f t="shared" si="2"/>
        <v>2660</v>
      </c>
    </row>
    <row r="66" spans="1:14">
      <c r="A66" s="2" t="s">
        <v>172</v>
      </c>
      <c r="B66" s="3">
        <v>45342</v>
      </c>
      <c r="C66" s="2" t="s">
        <v>15</v>
      </c>
      <c r="D66" s="2" t="s">
        <v>16</v>
      </c>
      <c r="E66" s="2" t="s">
        <v>24</v>
      </c>
      <c r="F66" s="2" t="s">
        <v>25</v>
      </c>
      <c r="G66" s="2" t="s">
        <v>96</v>
      </c>
      <c r="H66" s="2" t="s">
        <v>20</v>
      </c>
      <c r="I66" s="4">
        <v>3</v>
      </c>
      <c r="J66" s="4">
        <v>740</v>
      </c>
      <c r="K66" s="4">
        <v>10</v>
      </c>
      <c r="L66" s="5">
        <f t="shared" ref="L66:L129" si="3">I66*J66*(1-K66/100)</f>
        <v>1998</v>
      </c>
      <c r="M66" s="5">
        <f t="shared" ref="M66:M129" si="4">L66*0.65</f>
        <v>1298.7</v>
      </c>
      <c r="N66" s="5">
        <f t="shared" ref="N66:N129" si="5">L66-M66</f>
        <v>699.3</v>
      </c>
    </row>
    <row r="67" spans="1:14">
      <c r="A67" s="6" t="s">
        <v>173</v>
      </c>
      <c r="B67" s="7">
        <v>45343</v>
      </c>
      <c r="C67" s="6" t="s">
        <v>28</v>
      </c>
      <c r="D67" s="6" t="s">
        <v>29</v>
      </c>
      <c r="E67" s="6" t="s">
        <v>42</v>
      </c>
      <c r="F67" s="6" t="s">
        <v>174</v>
      </c>
      <c r="G67" s="6" t="s">
        <v>175</v>
      </c>
      <c r="H67" s="6" t="s">
        <v>20</v>
      </c>
      <c r="I67" s="8">
        <v>2</v>
      </c>
      <c r="J67" s="8">
        <v>1350</v>
      </c>
      <c r="K67" s="8">
        <v>5</v>
      </c>
      <c r="L67" s="9">
        <f t="shared" si="3"/>
        <v>2565</v>
      </c>
      <c r="M67" s="9">
        <f t="shared" si="4"/>
        <v>1667.25</v>
      </c>
      <c r="N67" s="9">
        <f t="shared" si="5"/>
        <v>897.75</v>
      </c>
    </row>
    <row r="68" spans="1:14">
      <c r="A68" s="2" t="s">
        <v>176</v>
      </c>
      <c r="B68" s="3">
        <v>45344</v>
      </c>
      <c r="C68" s="2" t="s">
        <v>15</v>
      </c>
      <c r="D68" s="2" t="s">
        <v>16</v>
      </c>
      <c r="E68" s="2" t="s">
        <v>17</v>
      </c>
      <c r="F68" s="2" t="s">
        <v>18</v>
      </c>
      <c r="G68" s="2" t="s">
        <v>105</v>
      </c>
      <c r="H68" s="2" t="s">
        <v>45</v>
      </c>
      <c r="I68" s="4">
        <v>1</v>
      </c>
      <c r="J68" s="4">
        <v>300</v>
      </c>
      <c r="K68" s="4">
        <v>5</v>
      </c>
      <c r="L68" s="5">
        <f t="shared" si="3"/>
        <v>285</v>
      </c>
      <c r="M68" s="5">
        <f t="shared" si="4"/>
        <v>185.25</v>
      </c>
      <c r="N68" s="5">
        <f t="shared" si="5"/>
        <v>99.75</v>
      </c>
    </row>
    <row r="69" spans="1:14">
      <c r="A69" s="6" t="s">
        <v>177</v>
      </c>
      <c r="B69" s="7">
        <v>45344</v>
      </c>
      <c r="C69" s="6" t="s">
        <v>22</v>
      </c>
      <c r="D69" s="6" t="s">
        <v>23</v>
      </c>
      <c r="E69" s="6" t="s">
        <v>24</v>
      </c>
      <c r="F69" s="6" t="s">
        <v>54</v>
      </c>
      <c r="G69" s="6" t="s">
        <v>178</v>
      </c>
      <c r="H69" s="6" t="s">
        <v>45</v>
      </c>
      <c r="I69" s="8">
        <v>2</v>
      </c>
      <c r="J69" s="8">
        <v>340</v>
      </c>
      <c r="K69" s="8">
        <v>5</v>
      </c>
      <c r="L69" s="9">
        <f t="shared" si="3"/>
        <v>646</v>
      </c>
      <c r="M69" s="9">
        <f t="shared" si="4"/>
        <v>419.90000000000003</v>
      </c>
      <c r="N69" s="9">
        <f t="shared" si="5"/>
        <v>226.09999999999997</v>
      </c>
    </row>
    <row r="70" spans="1:14">
      <c r="A70" s="2" t="s">
        <v>179</v>
      </c>
      <c r="B70" s="3">
        <v>45344</v>
      </c>
      <c r="C70" s="2" t="s">
        <v>15</v>
      </c>
      <c r="D70" s="2" t="s">
        <v>16</v>
      </c>
      <c r="E70" s="2" t="s">
        <v>17</v>
      </c>
      <c r="F70" s="2" t="s">
        <v>102</v>
      </c>
      <c r="G70" s="2" t="s">
        <v>180</v>
      </c>
      <c r="H70" s="2" t="s">
        <v>20</v>
      </c>
      <c r="I70" s="4">
        <v>3</v>
      </c>
      <c r="J70" s="4">
        <v>210</v>
      </c>
      <c r="K70" s="4">
        <v>5</v>
      </c>
      <c r="L70" s="5">
        <f t="shared" si="3"/>
        <v>598.5</v>
      </c>
      <c r="M70" s="5">
        <f t="shared" si="4"/>
        <v>389.02500000000003</v>
      </c>
      <c r="N70" s="5">
        <f t="shared" si="5"/>
        <v>209.47499999999997</v>
      </c>
    </row>
    <row r="71" spans="1:14">
      <c r="A71" s="6" t="s">
        <v>181</v>
      </c>
      <c r="B71" s="7">
        <v>45345</v>
      </c>
      <c r="C71" s="6" t="s">
        <v>107</v>
      </c>
      <c r="D71" s="6" t="s">
        <v>108</v>
      </c>
      <c r="E71" s="6" t="s">
        <v>35</v>
      </c>
      <c r="F71" s="6" t="s">
        <v>182</v>
      </c>
      <c r="G71" s="6" t="s">
        <v>148</v>
      </c>
      <c r="H71" s="6" t="s">
        <v>45</v>
      </c>
      <c r="I71" s="8">
        <v>3</v>
      </c>
      <c r="J71" s="8">
        <v>520</v>
      </c>
      <c r="K71" s="8">
        <v>0</v>
      </c>
      <c r="L71" s="9">
        <f t="shared" si="3"/>
        <v>1560</v>
      </c>
      <c r="M71" s="9">
        <f t="shared" si="4"/>
        <v>1014</v>
      </c>
      <c r="N71" s="9">
        <f t="shared" si="5"/>
        <v>546</v>
      </c>
    </row>
    <row r="72" spans="1:14">
      <c r="A72" s="2" t="s">
        <v>183</v>
      </c>
      <c r="B72" s="3">
        <v>45346</v>
      </c>
      <c r="C72" s="2" t="s">
        <v>15</v>
      </c>
      <c r="D72" s="2" t="s">
        <v>16</v>
      </c>
      <c r="E72" s="2" t="s">
        <v>24</v>
      </c>
      <c r="F72" s="2" t="s">
        <v>39</v>
      </c>
      <c r="G72" s="2" t="s">
        <v>119</v>
      </c>
      <c r="H72" s="2" t="s">
        <v>45</v>
      </c>
      <c r="I72" s="4">
        <v>1</v>
      </c>
      <c r="J72" s="4">
        <v>1130</v>
      </c>
      <c r="K72" s="4">
        <v>5</v>
      </c>
      <c r="L72" s="5">
        <f t="shared" si="3"/>
        <v>1073.5</v>
      </c>
      <c r="M72" s="5">
        <f t="shared" si="4"/>
        <v>697.77499999999998</v>
      </c>
      <c r="N72" s="5">
        <f t="shared" si="5"/>
        <v>375.72500000000002</v>
      </c>
    </row>
    <row r="73" spans="1:14">
      <c r="A73" s="6" t="s">
        <v>184</v>
      </c>
      <c r="B73" s="7">
        <v>45346</v>
      </c>
      <c r="C73" s="6" t="s">
        <v>107</v>
      </c>
      <c r="D73" s="6" t="s">
        <v>108</v>
      </c>
      <c r="E73" s="6" t="s">
        <v>35</v>
      </c>
      <c r="F73" s="6" t="s">
        <v>57</v>
      </c>
      <c r="G73" s="6" t="s">
        <v>185</v>
      </c>
      <c r="H73" s="6" t="s">
        <v>20</v>
      </c>
      <c r="I73" s="8">
        <v>5</v>
      </c>
      <c r="J73" s="8">
        <v>870</v>
      </c>
      <c r="K73" s="8">
        <v>5</v>
      </c>
      <c r="L73" s="9">
        <f t="shared" si="3"/>
        <v>4132.5</v>
      </c>
      <c r="M73" s="9">
        <f t="shared" si="4"/>
        <v>2686.125</v>
      </c>
      <c r="N73" s="9">
        <f t="shared" si="5"/>
        <v>1446.375</v>
      </c>
    </row>
    <row r="74" spans="1:14">
      <c r="A74" s="2" t="s">
        <v>186</v>
      </c>
      <c r="B74" s="3">
        <v>45347</v>
      </c>
      <c r="C74" s="2" t="s">
        <v>33</v>
      </c>
      <c r="D74" s="2" t="s">
        <v>34</v>
      </c>
      <c r="E74" s="2" t="s">
        <v>17</v>
      </c>
      <c r="F74" s="2" t="s">
        <v>116</v>
      </c>
      <c r="G74" s="2" t="s">
        <v>187</v>
      </c>
      <c r="H74" s="2" t="s">
        <v>45</v>
      </c>
      <c r="I74" s="4">
        <v>2</v>
      </c>
      <c r="J74" s="4">
        <v>160</v>
      </c>
      <c r="K74" s="4">
        <v>10</v>
      </c>
      <c r="L74" s="5">
        <f t="shared" si="3"/>
        <v>288</v>
      </c>
      <c r="M74" s="5">
        <f t="shared" si="4"/>
        <v>187.20000000000002</v>
      </c>
      <c r="N74" s="5">
        <f t="shared" si="5"/>
        <v>100.79999999999998</v>
      </c>
    </row>
    <row r="75" spans="1:14">
      <c r="A75" s="6" t="s">
        <v>188</v>
      </c>
      <c r="B75" s="7">
        <v>45347</v>
      </c>
      <c r="C75" s="6" t="s">
        <v>107</v>
      </c>
      <c r="D75" s="6" t="s">
        <v>108</v>
      </c>
      <c r="E75" s="6" t="s">
        <v>24</v>
      </c>
      <c r="F75" s="6" t="s">
        <v>71</v>
      </c>
      <c r="G75" s="6" t="s">
        <v>134</v>
      </c>
      <c r="H75" s="6" t="s">
        <v>20</v>
      </c>
      <c r="I75" s="8">
        <v>5</v>
      </c>
      <c r="J75" s="8">
        <v>910</v>
      </c>
      <c r="K75" s="8">
        <v>5</v>
      </c>
      <c r="L75" s="9">
        <f t="shared" si="3"/>
        <v>4322.5</v>
      </c>
      <c r="M75" s="9">
        <f t="shared" si="4"/>
        <v>2809.625</v>
      </c>
      <c r="N75" s="9">
        <f t="shared" si="5"/>
        <v>1512.875</v>
      </c>
    </row>
    <row r="76" spans="1:14">
      <c r="A76" s="2" t="s">
        <v>189</v>
      </c>
      <c r="B76" s="3">
        <v>45347</v>
      </c>
      <c r="C76" s="2" t="s">
        <v>15</v>
      </c>
      <c r="D76" s="2" t="s">
        <v>16</v>
      </c>
      <c r="E76" s="2" t="s">
        <v>42</v>
      </c>
      <c r="F76" s="2" t="s">
        <v>47</v>
      </c>
      <c r="G76" s="2" t="s">
        <v>190</v>
      </c>
      <c r="H76" s="2" t="s">
        <v>52</v>
      </c>
      <c r="I76" s="4">
        <v>4</v>
      </c>
      <c r="J76" s="4">
        <v>990</v>
      </c>
      <c r="K76" s="4">
        <v>15</v>
      </c>
      <c r="L76" s="5">
        <f t="shared" si="3"/>
        <v>3366</v>
      </c>
      <c r="M76" s="5">
        <f t="shared" si="4"/>
        <v>2187.9</v>
      </c>
      <c r="N76" s="5">
        <f t="shared" si="5"/>
        <v>1178.0999999999999</v>
      </c>
    </row>
    <row r="77" spans="1:14">
      <c r="A77" s="6" t="s">
        <v>191</v>
      </c>
      <c r="B77" s="7">
        <v>45348</v>
      </c>
      <c r="C77" s="6" t="s">
        <v>33</v>
      </c>
      <c r="D77" s="6" t="s">
        <v>34</v>
      </c>
      <c r="E77" s="6" t="s">
        <v>35</v>
      </c>
      <c r="F77" s="6" t="s">
        <v>95</v>
      </c>
      <c r="G77" s="6" t="s">
        <v>137</v>
      </c>
      <c r="H77" s="6" t="s">
        <v>52</v>
      </c>
      <c r="I77" s="8">
        <v>1</v>
      </c>
      <c r="J77" s="8">
        <v>360</v>
      </c>
      <c r="K77" s="8">
        <v>10</v>
      </c>
      <c r="L77" s="9">
        <f t="shared" si="3"/>
        <v>324</v>
      </c>
      <c r="M77" s="9">
        <f t="shared" si="4"/>
        <v>210.6</v>
      </c>
      <c r="N77" s="9">
        <f t="shared" si="5"/>
        <v>113.4</v>
      </c>
    </row>
    <row r="78" spans="1:14">
      <c r="A78" s="2" t="s">
        <v>192</v>
      </c>
      <c r="B78" s="3">
        <v>45350</v>
      </c>
      <c r="C78" s="2" t="s">
        <v>107</v>
      </c>
      <c r="D78" s="2" t="s">
        <v>108</v>
      </c>
      <c r="E78" s="2" t="s">
        <v>17</v>
      </c>
      <c r="F78" s="2" t="s">
        <v>116</v>
      </c>
      <c r="G78" s="2" t="s">
        <v>193</v>
      </c>
      <c r="H78" s="2" t="s">
        <v>20</v>
      </c>
      <c r="I78" s="4">
        <v>4</v>
      </c>
      <c r="J78" s="4">
        <v>150</v>
      </c>
      <c r="K78" s="4">
        <v>10</v>
      </c>
      <c r="L78" s="5">
        <f t="shared" si="3"/>
        <v>540</v>
      </c>
      <c r="M78" s="5">
        <f t="shared" si="4"/>
        <v>351</v>
      </c>
      <c r="N78" s="5">
        <f t="shared" si="5"/>
        <v>189</v>
      </c>
    </row>
    <row r="79" spans="1:14">
      <c r="A79" s="6" t="s">
        <v>194</v>
      </c>
      <c r="B79" s="7">
        <v>45350</v>
      </c>
      <c r="C79" s="6" t="s">
        <v>15</v>
      </c>
      <c r="D79" s="6" t="s">
        <v>16</v>
      </c>
      <c r="E79" s="6" t="s">
        <v>35</v>
      </c>
      <c r="F79" s="6" t="s">
        <v>57</v>
      </c>
      <c r="G79" s="6" t="s">
        <v>195</v>
      </c>
      <c r="H79" s="6" t="s">
        <v>20</v>
      </c>
      <c r="I79" s="8">
        <v>1</v>
      </c>
      <c r="J79" s="8">
        <v>820</v>
      </c>
      <c r="K79" s="8">
        <v>15</v>
      </c>
      <c r="L79" s="9">
        <f t="shared" si="3"/>
        <v>697</v>
      </c>
      <c r="M79" s="9">
        <f t="shared" si="4"/>
        <v>453.05</v>
      </c>
      <c r="N79" s="9">
        <f t="shared" si="5"/>
        <v>243.95</v>
      </c>
    </row>
    <row r="80" spans="1:14">
      <c r="A80" s="2" t="s">
        <v>196</v>
      </c>
      <c r="B80" s="3">
        <v>45351</v>
      </c>
      <c r="C80" s="2" t="s">
        <v>107</v>
      </c>
      <c r="D80" s="2" t="s">
        <v>108</v>
      </c>
      <c r="E80" s="2" t="s">
        <v>42</v>
      </c>
      <c r="F80" s="2" t="s">
        <v>121</v>
      </c>
      <c r="G80" s="2" t="s">
        <v>197</v>
      </c>
      <c r="H80" s="2" t="s">
        <v>45</v>
      </c>
      <c r="I80" s="4">
        <v>1</v>
      </c>
      <c r="J80" s="4">
        <v>1820</v>
      </c>
      <c r="K80" s="4">
        <v>10</v>
      </c>
      <c r="L80" s="5">
        <f t="shared" si="3"/>
        <v>1638</v>
      </c>
      <c r="M80" s="5">
        <f t="shared" si="4"/>
        <v>1064.7</v>
      </c>
      <c r="N80" s="5">
        <f t="shared" si="5"/>
        <v>573.29999999999995</v>
      </c>
    </row>
    <row r="81" spans="1:14">
      <c r="A81" s="6" t="s">
        <v>198</v>
      </c>
      <c r="B81" s="7">
        <v>45351</v>
      </c>
      <c r="C81" s="6" t="s">
        <v>28</v>
      </c>
      <c r="D81" s="6" t="s">
        <v>29</v>
      </c>
      <c r="E81" s="6" t="s">
        <v>42</v>
      </c>
      <c r="F81" s="6" t="s">
        <v>199</v>
      </c>
      <c r="G81" s="6" t="s">
        <v>200</v>
      </c>
      <c r="H81" s="6" t="s">
        <v>20</v>
      </c>
      <c r="I81" s="8">
        <v>1</v>
      </c>
      <c r="J81" s="8">
        <v>360</v>
      </c>
      <c r="K81" s="8">
        <v>15</v>
      </c>
      <c r="L81" s="9">
        <f t="shared" si="3"/>
        <v>306</v>
      </c>
      <c r="M81" s="9">
        <f t="shared" si="4"/>
        <v>198.9</v>
      </c>
      <c r="N81" s="9">
        <f t="shared" si="5"/>
        <v>107.1</v>
      </c>
    </row>
    <row r="82" spans="1:14">
      <c r="A82" s="2" t="s">
        <v>201</v>
      </c>
      <c r="B82" s="3">
        <v>45351</v>
      </c>
      <c r="C82" s="2" t="s">
        <v>107</v>
      </c>
      <c r="D82" s="2" t="s">
        <v>108</v>
      </c>
      <c r="E82" s="2" t="s">
        <v>42</v>
      </c>
      <c r="F82" s="2" t="s">
        <v>121</v>
      </c>
      <c r="G82" s="2" t="s">
        <v>72</v>
      </c>
      <c r="H82" s="2" t="s">
        <v>45</v>
      </c>
      <c r="I82" s="4">
        <v>2</v>
      </c>
      <c r="J82" s="4">
        <v>2040</v>
      </c>
      <c r="K82" s="4">
        <v>5</v>
      </c>
      <c r="L82" s="5">
        <f t="shared" si="3"/>
        <v>3876</v>
      </c>
      <c r="M82" s="5">
        <f t="shared" si="4"/>
        <v>2519.4</v>
      </c>
      <c r="N82" s="5">
        <f t="shared" si="5"/>
        <v>1356.6</v>
      </c>
    </row>
    <row r="83" spans="1:14">
      <c r="A83" s="6" t="s">
        <v>202</v>
      </c>
      <c r="B83" s="7">
        <v>45353</v>
      </c>
      <c r="C83" s="6" t="s">
        <v>107</v>
      </c>
      <c r="D83" s="6" t="s">
        <v>108</v>
      </c>
      <c r="E83" s="6" t="s">
        <v>24</v>
      </c>
      <c r="F83" s="6" t="s">
        <v>66</v>
      </c>
      <c r="G83" s="6" t="s">
        <v>203</v>
      </c>
      <c r="H83" s="6" t="s">
        <v>20</v>
      </c>
      <c r="I83" s="8">
        <v>2</v>
      </c>
      <c r="J83" s="8">
        <v>680</v>
      </c>
      <c r="K83" s="8">
        <v>5</v>
      </c>
      <c r="L83" s="9">
        <f t="shared" si="3"/>
        <v>1292</v>
      </c>
      <c r="M83" s="9">
        <f t="shared" si="4"/>
        <v>839.80000000000007</v>
      </c>
      <c r="N83" s="9">
        <f t="shared" si="5"/>
        <v>452.19999999999993</v>
      </c>
    </row>
    <row r="84" spans="1:14">
      <c r="A84" s="2" t="s">
        <v>204</v>
      </c>
      <c r="B84" s="3">
        <v>45354</v>
      </c>
      <c r="C84" s="2" t="s">
        <v>15</v>
      </c>
      <c r="D84" s="2" t="s">
        <v>16</v>
      </c>
      <c r="E84" s="2" t="s">
        <v>35</v>
      </c>
      <c r="F84" s="2" t="s">
        <v>60</v>
      </c>
      <c r="G84" s="2" t="s">
        <v>187</v>
      </c>
      <c r="H84" s="2" t="s">
        <v>20</v>
      </c>
      <c r="I84" s="4">
        <v>3</v>
      </c>
      <c r="J84" s="4">
        <v>650</v>
      </c>
      <c r="K84" s="4">
        <v>10</v>
      </c>
      <c r="L84" s="5">
        <f t="shared" si="3"/>
        <v>1755</v>
      </c>
      <c r="M84" s="5">
        <f t="shared" si="4"/>
        <v>1140.75</v>
      </c>
      <c r="N84" s="5">
        <f t="shared" si="5"/>
        <v>614.25</v>
      </c>
    </row>
    <row r="85" spans="1:14">
      <c r="A85" s="6" t="s">
        <v>205</v>
      </c>
      <c r="B85" s="7">
        <v>45355</v>
      </c>
      <c r="C85" s="6" t="s">
        <v>33</v>
      </c>
      <c r="D85" s="6" t="s">
        <v>34</v>
      </c>
      <c r="E85" s="6" t="s">
        <v>17</v>
      </c>
      <c r="F85" s="6" t="s">
        <v>206</v>
      </c>
      <c r="G85" s="6" t="s">
        <v>144</v>
      </c>
      <c r="H85" s="6" t="s">
        <v>45</v>
      </c>
      <c r="I85" s="8">
        <v>1</v>
      </c>
      <c r="J85" s="8">
        <v>100</v>
      </c>
      <c r="K85" s="8">
        <v>5</v>
      </c>
      <c r="L85" s="9">
        <f t="shared" si="3"/>
        <v>95</v>
      </c>
      <c r="M85" s="9">
        <f t="shared" si="4"/>
        <v>61.75</v>
      </c>
      <c r="N85" s="9">
        <f t="shared" si="5"/>
        <v>33.25</v>
      </c>
    </row>
    <row r="86" spans="1:14">
      <c r="A86" s="2" t="s">
        <v>207</v>
      </c>
      <c r="B86" s="3">
        <v>45355</v>
      </c>
      <c r="C86" s="2" t="s">
        <v>33</v>
      </c>
      <c r="D86" s="2" t="s">
        <v>34</v>
      </c>
      <c r="E86" s="2" t="s">
        <v>35</v>
      </c>
      <c r="F86" s="2" t="s">
        <v>50</v>
      </c>
      <c r="G86" s="2" t="s">
        <v>208</v>
      </c>
      <c r="H86" s="2" t="s">
        <v>20</v>
      </c>
      <c r="I86" s="4">
        <v>1</v>
      </c>
      <c r="J86" s="4">
        <v>310</v>
      </c>
      <c r="K86" s="4">
        <v>15</v>
      </c>
      <c r="L86" s="5">
        <f t="shared" si="3"/>
        <v>263.5</v>
      </c>
      <c r="M86" s="5">
        <f t="shared" si="4"/>
        <v>171.27500000000001</v>
      </c>
      <c r="N86" s="5">
        <f t="shared" si="5"/>
        <v>92.224999999999994</v>
      </c>
    </row>
    <row r="87" spans="1:14">
      <c r="A87" s="6" t="s">
        <v>209</v>
      </c>
      <c r="B87" s="7">
        <v>45356</v>
      </c>
      <c r="C87" s="6" t="s">
        <v>107</v>
      </c>
      <c r="D87" s="6" t="s">
        <v>108</v>
      </c>
      <c r="E87" s="6" t="s">
        <v>35</v>
      </c>
      <c r="F87" s="6" t="s">
        <v>36</v>
      </c>
      <c r="G87" s="6" t="s">
        <v>210</v>
      </c>
      <c r="H87" s="6" t="s">
        <v>20</v>
      </c>
      <c r="I87" s="8">
        <v>1</v>
      </c>
      <c r="J87" s="8">
        <v>240</v>
      </c>
      <c r="K87" s="8">
        <v>15</v>
      </c>
      <c r="L87" s="9">
        <f t="shared" si="3"/>
        <v>204</v>
      </c>
      <c r="M87" s="9">
        <f t="shared" si="4"/>
        <v>132.6</v>
      </c>
      <c r="N87" s="9">
        <f t="shared" si="5"/>
        <v>71.400000000000006</v>
      </c>
    </row>
    <row r="88" spans="1:14">
      <c r="A88" s="2" t="s">
        <v>211</v>
      </c>
      <c r="B88" s="3">
        <v>45356</v>
      </c>
      <c r="C88" s="2" t="s">
        <v>33</v>
      </c>
      <c r="D88" s="2" t="s">
        <v>34</v>
      </c>
      <c r="E88" s="2" t="s">
        <v>42</v>
      </c>
      <c r="F88" s="2" t="s">
        <v>121</v>
      </c>
      <c r="G88" s="2" t="s">
        <v>144</v>
      </c>
      <c r="H88" s="2" t="s">
        <v>52</v>
      </c>
      <c r="I88" s="4">
        <v>2</v>
      </c>
      <c r="J88" s="4">
        <v>1920</v>
      </c>
      <c r="K88" s="4">
        <v>15</v>
      </c>
      <c r="L88" s="5">
        <f t="shared" si="3"/>
        <v>3264</v>
      </c>
      <c r="M88" s="5">
        <f t="shared" si="4"/>
        <v>2121.6</v>
      </c>
      <c r="N88" s="5">
        <f t="shared" si="5"/>
        <v>1142.4000000000001</v>
      </c>
    </row>
    <row r="89" spans="1:14">
      <c r="A89" s="6" t="s">
        <v>212</v>
      </c>
      <c r="B89" s="7">
        <v>45358</v>
      </c>
      <c r="C89" s="6" t="s">
        <v>33</v>
      </c>
      <c r="D89" s="6" t="s">
        <v>34</v>
      </c>
      <c r="E89" s="6" t="s">
        <v>24</v>
      </c>
      <c r="F89" s="6" t="s">
        <v>63</v>
      </c>
      <c r="G89" s="6" t="s">
        <v>213</v>
      </c>
      <c r="H89" s="6" t="s">
        <v>20</v>
      </c>
      <c r="I89" s="8">
        <v>1</v>
      </c>
      <c r="J89" s="8">
        <v>1510</v>
      </c>
      <c r="K89" s="8">
        <v>15</v>
      </c>
      <c r="L89" s="9">
        <f t="shared" si="3"/>
        <v>1283.5</v>
      </c>
      <c r="M89" s="9">
        <f t="shared" si="4"/>
        <v>834.27499999999998</v>
      </c>
      <c r="N89" s="9">
        <f t="shared" si="5"/>
        <v>449.22500000000002</v>
      </c>
    </row>
    <row r="90" spans="1:14">
      <c r="A90" s="2" t="s">
        <v>214</v>
      </c>
      <c r="B90" s="3">
        <v>45358</v>
      </c>
      <c r="C90" s="2" t="s">
        <v>28</v>
      </c>
      <c r="D90" s="2" t="s">
        <v>29</v>
      </c>
      <c r="E90" s="2" t="s">
        <v>24</v>
      </c>
      <c r="F90" s="2" t="s">
        <v>54</v>
      </c>
      <c r="G90" s="2" t="s">
        <v>215</v>
      </c>
      <c r="H90" s="2" t="s">
        <v>45</v>
      </c>
      <c r="I90" s="4">
        <v>1</v>
      </c>
      <c r="J90" s="4">
        <v>320</v>
      </c>
      <c r="K90" s="4">
        <v>0</v>
      </c>
      <c r="L90" s="5">
        <f t="shared" si="3"/>
        <v>320</v>
      </c>
      <c r="M90" s="5">
        <f t="shared" si="4"/>
        <v>208</v>
      </c>
      <c r="N90" s="5">
        <f t="shared" si="5"/>
        <v>112</v>
      </c>
    </row>
    <row r="91" spans="1:14">
      <c r="A91" s="6" t="s">
        <v>216</v>
      </c>
      <c r="B91" s="7">
        <v>45358</v>
      </c>
      <c r="C91" s="6" t="s">
        <v>33</v>
      </c>
      <c r="D91" s="6" t="s">
        <v>34</v>
      </c>
      <c r="E91" s="6" t="s">
        <v>42</v>
      </c>
      <c r="F91" s="6" t="s">
        <v>217</v>
      </c>
      <c r="G91" s="6" t="s">
        <v>218</v>
      </c>
      <c r="H91" s="6" t="s">
        <v>45</v>
      </c>
      <c r="I91" s="8">
        <v>1</v>
      </c>
      <c r="J91" s="8">
        <v>620</v>
      </c>
      <c r="K91" s="8">
        <v>0</v>
      </c>
      <c r="L91" s="9">
        <f t="shared" si="3"/>
        <v>620</v>
      </c>
      <c r="M91" s="9">
        <f t="shared" si="4"/>
        <v>403</v>
      </c>
      <c r="N91" s="9">
        <f t="shared" si="5"/>
        <v>217</v>
      </c>
    </row>
    <row r="92" spans="1:14">
      <c r="A92" s="2" t="s">
        <v>219</v>
      </c>
      <c r="B92" s="3">
        <v>45358</v>
      </c>
      <c r="C92" s="2" t="s">
        <v>107</v>
      </c>
      <c r="D92" s="2" t="s">
        <v>108</v>
      </c>
      <c r="E92" s="2" t="s">
        <v>35</v>
      </c>
      <c r="F92" s="2" t="s">
        <v>109</v>
      </c>
      <c r="G92" s="2" t="s">
        <v>150</v>
      </c>
      <c r="H92" s="2" t="s">
        <v>45</v>
      </c>
      <c r="I92" s="4">
        <v>2</v>
      </c>
      <c r="J92" s="4">
        <v>470</v>
      </c>
      <c r="K92" s="4">
        <v>0</v>
      </c>
      <c r="L92" s="5">
        <f t="shared" si="3"/>
        <v>940</v>
      </c>
      <c r="M92" s="5">
        <f t="shared" si="4"/>
        <v>611</v>
      </c>
      <c r="N92" s="5">
        <f t="shared" si="5"/>
        <v>329</v>
      </c>
    </row>
    <row r="93" spans="1:14">
      <c r="A93" s="6" t="s">
        <v>220</v>
      </c>
      <c r="B93" s="7">
        <v>45358</v>
      </c>
      <c r="C93" s="6" t="s">
        <v>22</v>
      </c>
      <c r="D93" s="6" t="s">
        <v>23</v>
      </c>
      <c r="E93" s="6" t="s">
        <v>35</v>
      </c>
      <c r="F93" s="6" t="s">
        <v>50</v>
      </c>
      <c r="G93" s="6" t="s">
        <v>48</v>
      </c>
      <c r="H93" s="6" t="s">
        <v>20</v>
      </c>
      <c r="I93" s="8">
        <v>1</v>
      </c>
      <c r="J93" s="8">
        <v>290</v>
      </c>
      <c r="K93" s="8">
        <v>5</v>
      </c>
      <c r="L93" s="9">
        <f t="shared" si="3"/>
        <v>275.5</v>
      </c>
      <c r="M93" s="9">
        <f t="shared" si="4"/>
        <v>179.07500000000002</v>
      </c>
      <c r="N93" s="9">
        <f t="shared" si="5"/>
        <v>96.424999999999983</v>
      </c>
    </row>
    <row r="94" spans="1:14">
      <c r="A94" s="2" t="s">
        <v>221</v>
      </c>
      <c r="B94" s="3">
        <v>45358</v>
      </c>
      <c r="C94" s="2" t="s">
        <v>28</v>
      </c>
      <c r="D94" s="2" t="s">
        <v>29</v>
      </c>
      <c r="E94" s="2" t="s">
        <v>35</v>
      </c>
      <c r="F94" s="2" t="s">
        <v>182</v>
      </c>
      <c r="G94" s="2" t="s">
        <v>222</v>
      </c>
      <c r="H94" s="2" t="s">
        <v>45</v>
      </c>
      <c r="I94" s="4">
        <v>1</v>
      </c>
      <c r="J94" s="4">
        <v>540</v>
      </c>
      <c r="K94" s="4">
        <v>5</v>
      </c>
      <c r="L94" s="5">
        <f t="shared" si="3"/>
        <v>513</v>
      </c>
      <c r="M94" s="5">
        <f t="shared" si="4"/>
        <v>333.45</v>
      </c>
      <c r="N94" s="5">
        <f t="shared" si="5"/>
        <v>179.55</v>
      </c>
    </row>
    <row r="95" spans="1:14">
      <c r="A95" s="6" t="s">
        <v>223</v>
      </c>
      <c r="B95" s="7">
        <v>45359</v>
      </c>
      <c r="C95" s="6" t="s">
        <v>22</v>
      </c>
      <c r="D95" s="6" t="s">
        <v>23</v>
      </c>
      <c r="E95" s="6" t="s">
        <v>17</v>
      </c>
      <c r="F95" s="6" t="s">
        <v>224</v>
      </c>
      <c r="G95" s="6" t="s">
        <v>225</v>
      </c>
      <c r="H95" s="6" t="s">
        <v>52</v>
      </c>
      <c r="I95" s="8">
        <v>4</v>
      </c>
      <c r="J95" s="8">
        <v>90</v>
      </c>
      <c r="K95" s="8">
        <v>15</v>
      </c>
      <c r="L95" s="9">
        <f t="shared" si="3"/>
        <v>306</v>
      </c>
      <c r="M95" s="9">
        <f t="shared" si="4"/>
        <v>198.9</v>
      </c>
      <c r="N95" s="9">
        <f t="shared" si="5"/>
        <v>107.1</v>
      </c>
    </row>
    <row r="96" spans="1:14">
      <c r="A96" s="2" t="s">
        <v>226</v>
      </c>
      <c r="B96" s="3">
        <v>45359</v>
      </c>
      <c r="C96" s="2" t="s">
        <v>33</v>
      </c>
      <c r="D96" s="2" t="s">
        <v>34</v>
      </c>
      <c r="E96" s="2" t="s">
        <v>24</v>
      </c>
      <c r="F96" s="2" t="s">
        <v>83</v>
      </c>
      <c r="G96" s="2" t="s">
        <v>227</v>
      </c>
      <c r="H96" s="2" t="s">
        <v>45</v>
      </c>
      <c r="I96" s="4">
        <v>1</v>
      </c>
      <c r="J96" s="4">
        <v>550</v>
      </c>
      <c r="K96" s="4">
        <v>10</v>
      </c>
      <c r="L96" s="5">
        <f t="shared" si="3"/>
        <v>495</v>
      </c>
      <c r="M96" s="5">
        <f t="shared" si="4"/>
        <v>321.75</v>
      </c>
      <c r="N96" s="5">
        <f t="shared" si="5"/>
        <v>173.25</v>
      </c>
    </row>
    <row r="97" spans="1:14">
      <c r="A97" s="6" t="s">
        <v>228</v>
      </c>
      <c r="B97" s="7">
        <v>45359</v>
      </c>
      <c r="C97" s="6" t="s">
        <v>107</v>
      </c>
      <c r="D97" s="6" t="s">
        <v>108</v>
      </c>
      <c r="E97" s="6" t="s">
        <v>42</v>
      </c>
      <c r="F97" s="6" t="s">
        <v>113</v>
      </c>
      <c r="G97" s="6" t="s">
        <v>229</v>
      </c>
      <c r="H97" s="6" t="s">
        <v>20</v>
      </c>
      <c r="I97" s="8">
        <v>3</v>
      </c>
      <c r="J97" s="8">
        <v>760</v>
      </c>
      <c r="K97" s="8">
        <v>10</v>
      </c>
      <c r="L97" s="9">
        <f t="shared" si="3"/>
        <v>2052</v>
      </c>
      <c r="M97" s="9">
        <f t="shared" si="4"/>
        <v>1333.8</v>
      </c>
      <c r="N97" s="9">
        <f t="shared" si="5"/>
        <v>718.2</v>
      </c>
    </row>
    <row r="98" spans="1:14">
      <c r="A98" s="2" t="s">
        <v>230</v>
      </c>
      <c r="B98" s="3">
        <v>45359</v>
      </c>
      <c r="C98" s="2" t="s">
        <v>107</v>
      </c>
      <c r="D98" s="2" t="s">
        <v>108</v>
      </c>
      <c r="E98" s="2" t="s">
        <v>17</v>
      </c>
      <c r="F98" s="2" t="s">
        <v>116</v>
      </c>
      <c r="G98" s="2" t="s">
        <v>231</v>
      </c>
      <c r="H98" s="2" t="s">
        <v>20</v>
      </c>
      <c r="I98" s="4">
        <v>2</v>
      </c>
      <c r="J98" s="4">
        <v>160</v>
      </c>
      <c r="K98" s="4">
        <v>15</v>
      </c>
      <c r="L98" s="5">
        <f t="shared" si="3"/>
        <v>272</v>
      </c>
      <c r="M98" s="5">
        <f t="shared" si="4"/>
        <v>176.8</v>
      </c>
      <c r="N98" s="5">
        <f t="shared" si="5"/>
        <v>95.199999999999989</v>
      </c>
    </row>
    <row r="99" spans="1:14">
      <c r="A99" s="6" t="s">
        <v>232</v>
      </c>
      <c r="B99" s="7">
        <v>45361</v>
      </c>
      <c r="C99" s="6" t="s">
        <v>28</v>
      </c>
      <c r="D99" s="6" t="s">
        <v>29</v>
      </c>
      <c r="E99" s="6" t="s">
        <v>35</v>
      </c>
      <c r="F99" s="6" t="s">
        <v>109</v>
      </c>
      <c r="G99" s="6" t="s">
        <v>130</v>
      </c>
      <c r="H99" s="6" t="s">
        <v>20</v>
      </c>
      <c r="I99" s="8">
        <v>2</v>
      </c>
      <c r="J99" s="8">
        <v>460</v>
      </c>
      <c r="K99" s="8">
        <v>15</v>
      </c>
      <c r="L99" s="9">
        <f t="shared" si="3"/>
        <v>782</v>
      </c>
      <c r="M99" s="9">
        <f t="shared" si="4"/>
        <v>508.3</v>
      </c>
      <c r="N99" s="9">
        <f t="shared" si="5"/>
        <v>273.7</v>
      </c>
    </row>
    <row r="100" spans="1:14">
      <c r="A100" s="2" t="s">
        <v>233</v>
      </c>
      <c r="B100" s="3">
        <v>45362</v>
      </c>
      <c r="C100" s="2" t="s">
        <v>22</v>
      </c>
      <c r="D100" s="2" t="s">
        <v>23</v>
      </c>
      <c r="E100" s="2" t="s">
        <v>35</v>
      </c>
      <c r="F100" s="2" t="s">
        <v>182</v>
      </c>
      <c r="G100" s="2" t="s">
        <v>234</v>
      </c>
      <c r="H100" s="2" t="s">
        <v>45</v>
      </c>
      <c r="I100" s="4">
        <v>1</v>
      </c>
      <c r="J100" s="4">
        <v>520</v>
      </c>
      <c r="K100" s="4">
        <v>10</v>
      </c>
      <c r="L100" s="5">
        <f t="shared" si="3"/>
        <v>468</v>
      </c>
      <c r="M100" s="5">
        <f t="shared" si="4"/>
        <v>304.2</v>
      </c>
      <c r="N100" s="5">
        <f t="shared" si="5"/>
        <v>163.80000000000001</v>
      </c>
    </row>
    <row r="101" spans="1:14">
      <c r="A101" s="6" t="s">
        <v>235</v>
      </c>
      <c r="B101" s="7">
        <v>45362</v>
      </c>
      <c r="C101" s="6" t="s">
        <v>15</v>
      </c>
      <c r="D101" s="6" t="s">
        <v>16</v>
      </c>
      <c r="E101" s="6" t="s">
        <v>24</v>
      </c>
      <c r="F101" s="6" t="s">
        <v>63</v>
      </c>
      <c r="G101" s="6" t="s">
        <v>236</v>
      </c>
      <c r="H101" s="6" t="s">
        <v>20</v>
      </c>
      <c r="I101" s="8">
        <v>3</v>
      </c>
      <c r="J101" s="8">
        <v>1630</v>
      </c>
      <c r="K101" s="8">
        <v>10</v>
      </c>
      <c r="L101" s="9">
        <f t="shared" si="3"/>
        <v>4401</v>
      </c>
      <c r="M101" s="9">
        <f t="shared" si="4"/>
        <v>2860.65</v>
      </c>
      <c r="N101" s="9">
        <f t="shared" si="5"/>
        <v>1540.35</v>
      </c>
    </row>
    <row r="102" spans="1:14">
      <c r="A102" s="2" t="s">
        <v>237</v>
      </c>
      <c r="B102" s="3">
        <v>45362</v>
      </c>
      <c r="C102" s="2" t="s">
        <v>28</v>
      </c>
      <c r="D102" s="2" t="s">
        <v>29</v>
      </c>
      <c r="E102" s="2" t="s">
        <v>24</v>
      </c>
      <c r="F102" s="2" t="s">
        <v>39</v>
      </c>
      <c r="G102" s="2" t="s">
        <v>19</v>
      </c>
      <c r="H102" s="2" t="s">
        <v>52</v>
      </c>
      <c r="I102" s="4">
        <v>5</v>
      </c>
      <c r="J102" s="4">
        <v>1230</v>
      </c>
      <c r="K102" s="4">
        <v>20</v>
      </c>
      <c r="L102" s="5">
        <f t="shared" si="3"/>
        <v>4920</v>
      </c>
      <c r="M102" s="5">
        <f t="shared" si="4"/>
        <v>3198</v>
      </c>
      <c r="N102" s="5">
        <f t="shared" si="5"/>
        <v>1722</v>
      </c>
    </row>
    <row r="103" spans="1:14">
      <c r="A103" s="6" t="s">
        <v>238</v>
      </c>
      <c r="B103" s="7">
        <v>45362</v>
      </c>
      <c r="C103" s="6" t="s">
        <v>28</v>
      </c>
      <c r="D103" s="6" t="s">
        <v>29</v>
      </c>
      <c r="E103" s="6" t="s">
        <v>42</v>
      </c>
      <c r="F103" s="6" t="s">
        <v>43</v>
      </c>
      <c r="G103" s="6" t="s">
        <v>128</v>
      </c>
      <c r="H103" s="6" t="s">
        <v>20</v>
      </c>
      <c r="I103" s="8">
        <v>2</v>
      </c>
      <c r="J103" s="8">
        <v>3350</v>
      </c>
      <c r="K103" s="8">
        <v>10</v>
      </c>
      <c r="L103" s="9">
        <f t="shared" si="3"/>
        <v>6030</v>
      </c>
      <c r="M103" s="9">
        <f t="shared" si="4"/>
        <v>3919.5</v>
      </c>
      <c r="N103" s="9">
        <f t="shared" si="5"/>
        <v>2110.5</v>
      </c>
    </row>
    <row r="104" spans="1:14">
      <c r="A104" s="2" t="s">
        <v>239</v>
      </c>
      <c r="B104" s="3">
        <v>45363</v>
      </c>
      <c r="C104" s="2" t="s">
        <v>28</v>
      </c>
      <c r="D104" s="2" t="s">
        <v>29</v>
      </c>
      <c r="E104" s="2" t="s">
        <v>24</v>
      </c>
      <c r="F104" s="2" t="s">
        <v>83</v>
      </c>
      <c r="G104" s="2" t="s">
        <v>240</v>
      </c>
      <c r="H104" s="2" t="s">
        <v>20</v>
      </c>
      <c r="I104" s="4">
        <v>4</v>
      </c>
      <c r="J104" s="4">
        <v>590</v>
      </c>
      <c r="K104" s="4">
        <v>15</v>
      </c>
      <c r="L104" s="5">
        <f t="shared" si="3"/>
        <v>2006</v>
      </c>
      <c r="M104" s="5">
        <f t="shared" si="4"/>
        <v>1303.9000000000001</v>
      </c>
      <c r="N104" s="5">
        <f t="shared" si="5"/>
        <v>702.09999999999991</v>
      </c>
    </row>
    <row r="105" spans="1:14">
      <c r="A105" s="6" t="s">
        <v>241</v>
      </c>
      <c r="B105" s="7">
        <v>45363</v>
      </c>
      <c r="C105" s="6" t="s">
        <v>33</v>
      </c>
      <c r="D105" s="6" t="s">
        <v>34</v>
      </c>
      <c r="E105" s="6" t="s">
        <v>17</v>
      </c>
      <c r="F105" s="6" t="s">
        <v>80</v>
      </c>
      <c r="G105" s="6" t="s">
        <v>242</v>
      </c>
      <c r="H105" s="6" t="s">
        <v>20</v>
      </c>
      <c r="I105" s="8">
        <v>1</v>
      </c>
      <c r="J105" s="8">
        <v>130</v>
      </c>
      <c r="K105" s="8">
        <v>10</v>
      </c>
      <c r="L105" s="9">
        <f t="shared" si="3"/>
        <v>117</v>
      </c>
      <c r="M105" s="9">
        <f t="shared" si="4"/>
        <v>76.05</v>
      </c>
      <c r="N105" s="9">
        <f t="shared" si="5"/>
        <v>40.950000000000003</v>
      </c>
    </row>
    <row r="106" spans="1:14">
      <c r="A106" s="2" t="s">
        <v>243</v>
      </c>
      <c r="B106" s="3">
        <v>45363</v>
      </c>
      <c r="C106" s="2" t="s">
        <v>22</v>
      </c>
      <c r="D106" s="2" t="s">
        <v>23</v>
      </c>
      <c r="E106" s="2" t="s">
        <v>17</v>
      </c>
      <c r="F106" s="2" t="s">
        <v>30</v>
      </c>
      <c r="G106" s="2" t="s">
        <v>244</v>
      </c>
      <c r="H106" s="2" t="s">
        <v>20</v>
      </c>
      <c r="I106" s="4">
        <v>2</v>
      </c>
      <c r="J106" s="4">
        <v>260</v>
      </c>
      <c r="K106" s="4">
        <v>15</v>
      </c>
      <c r="L106" s="5">
        <f t="shared" si="3"/>
        <v>442</v>
      </c>
      <c r="M106" s="5">
        <f t="shared" si="4"/>
        <v>287.3</v>
      </c>
      <c r="N106" s="5">
        <f t="shared" si="5"/>
        <v>154.69999999999999</v>
      </c>
    </row>
    <row r="107" spans="1:14">
      <c r="A107" s="6" t="s">
        <v>245</v>
      </c>
      <c r="B107" s="7">
        <v>45364</v>
      </c>
      <c r="C107" s="6" t="s">
        <v>22</v>
      </c>
      <c r="D107" s="6" t="s">
        <v>23</v>
      </c>
      <c r="E107" s="6" t="s">
        <v>35</v>
      </c>
      <c r="F107" s="6" t="s">
        <v>50</v>
      </c>
      <c r="G107" s="6" t="s">
        <v>246</v>
      </c>
      <c r="H107" s="6" t="s">
        <v>20</v>
      </c>
      <c r="I107" s="8">
        <v>1</v>
      </c>
      <c r="J107" s="8">
        <v>300</v>
      </c>
      <c r="K107" s="8">
        <v>15</v>
      </c>
      <c r="L107" s="9">
        <f t="shared" si="3"/>
        <v>255</v>
      </c>
      <c r="M107" s="9">
        <f t="shared" si="4"/>
        <v>165.75</v>
      </c>
      <c r="N107" s="9">
        <f t="shared" si="5"/>
        <v>89.25</v>
      </c>
    </row>
    <row r="108" spans="1:14">
      <c r="A108" s="2" t="s">
        <v>247</v>
      </c>
      <c r="B108" s="3">
        <v>45365</v>
      </c>
      <c r="C108" s="2" t="s">
        <v>33</v>
      </c>
      <c r="D108" s="2" t="s">
        <v>34</v>
      </c>
      <c r="E108" s="2" t="s">
        <v>24</v>
      </c>
      <c r="F108" s="2" t="s">
        <v>66</v>
      </c>
      <c r="G108" s="2" t="s">
        <v>195</v>
      </c>
      <c r="H108" s="2" t="s">
        <v>52</v>
      </c>
      <c r="I108" s="4">
        <v>1</v>
      </c>
      <c r="J108" s="4">
        <v>700</v>
      </c>
      <c r="K108" s="4">
        <v>10</v>
      </c>
      <c r="L108" s="5">
        <f t="shared" si="3"/>
        <v>630</v>
      </c>
      <c r="M108" s="5">
        <f t="shared" si="4"/>
        <v>409.5</v>
      </c>
      <c r="N108" s="5">
        <f t="shared" si="5"/>
        <v>220.5</v>
      </c>
    </row>
    <row r="109" spans="1:14">
      <c r="A109" s="6" t="s">
        <v>248</v>
      </c>
      <c r="B109" s="7">
        <v>45366</v>
      </c>
      <c r="C109" s="6" t="s">
        <v>107</v>
      </c>
      <c r="D109" s="6" t="s">
        <v>108</v>
      </c>
      <c r="E109" s="6" t="s">
        <v>17</v>
      </c>
      <c r="F109" s="6" t="s">
        <v>80</v>
      </c>
      <c r="G109" s="6" t="s">
        <v>249</v>
      </c>
      <c r="H109" s="6" t="s">
        <v>45</v>
      </c>
      <c r="I109" s="8">
        <v>1</v>
      </c>
      <c r="J109" s="8">
        <v>120</v>
      </c>
      <c r="K109" s="8">
        <v>0</v>
      </c>
      <c r="L109" s="9">
        <f t="shared" si="3"/>
        <v>120</v>
      </c>
      <c r="M109" s="9">
        <f t="shared" si="4"/>
        <v>78</v>
      </c>
      <c r="N109" s="9">
        <f t="shared" si="5"/>
        <v>42</v>
      </c>
    </row>
    <row r="110" spans="1:14">
      <c r="A110" s="2" t="s">
        <v>250</v>
      </c>
      <c r="B110" s="3">
        <v>45366</v>
      </c>
      <c r="C110" s="2" t="s">
        <v>15</v>
      </c>
      <c r="D110" s="2" t="s">
        <v>16</v>
      </c>
      <c r="E110" s="2" t="s">
        <v>17</v>
      </c>
      <c r="F110" s="2" t="s">
        <v>206</v>
      </c>
      <c r="G110" s="2" t="s">
        <v>251</v>
      </c>
      <c r="H110" s="2" t="s">
        <v>20</v>
      </c>
      <c r="I110" s="4">
        <v>1</v>
      </c>
      <c r="J110" s="4">
        <v>90</v>
      </c>
      <c r="K110" s="4">
        <v>5</v>
      </c>
      <c r="L110" s="5">
        <f t="shared" si="3"/>
        <v>85.5</v>
      </c>
      <c r="M110" s="5">
        <f t="shared" si="4"/>
        <v>55.575000000000003</v>
      </c>
      <c r="N110" s="5">
        <f t="shared" si="5"/>
        <v>29.924999999999997</v>
      </c>
    </row>
    <row r="111" spans="1:14">
      <c r="A111" s="6" t="s">
        <v>252</v>
      </c>
      <c r="B111" s="7">
        <v>45367</v>
      </c>
      <c r="C111" s="6" t="s">
        <v>15</v>
      </c>
      <c r="D111" s="6" t="s">
        <v>16</v>
      </c>
      <c r="E111" s="6" t="s">
        <v>42</v>
      </c>
      <c r="F111" s="6" t="s">
        <v>113</v>
      </c>
      <c r="G111" s="6" t="s">
        <v>253</v>
      </c>
      <c r="H111" s="6" t="s">
        <v>52</v>
      </c>
      <c r="I111" s="8">
        <v>1</v>
      </c>
      <c r="J111" s="8">
        <v>880</v>
      </c>
      <c r="K111" s="8">
        <v>15</v>
      </c>
      <c r="L111" s="9">
        <f t="shared" si="3"/>
        <v>748</v>
      </c>
      <c r="M111" s="9">
        <f t="shared" si="4"/>
        <v>486.2</v>
      </c>
      <c r="N111" s="9">
        <f t="shared" si="5"/>
        <v>261.8</v>
      </c>
    </row>
    <row r="112" spans="1:14">
      <c r="A112" s="2" t="s">
        <v>254</v>
      </c>
      <c r="B112" s="3">
        <v>45367</v>
      </c>
      <c r="C112" s="2" t="s">
        <v>22</v>
      </c>
      <c r="D112" s="2" t="s">
        <v>23</v>
      </c>
      <c r="E112" s="2" t="s">
        <v>17</v>
      </c>
      <c r="F112" s="2" t="s">
        <v>102</v>
      </c>
      <c r="G112" s="2" t="s">
        <v>255</v>
      </c>
      <c r="H112" s="2" t="s">
        <v>45</v>
      </c>
      <c r="I112" s="4">
        <v>2</v>
      </c>
      <c r="J112" s="4">
        <v>220</v>
      </c>
      <c r="K112" s="4">
        <v>10</v>
      </c>
      <c r="L112" s="5">
        <f t="shared" si="3"/>
        <v>396</v>
      </c>
      <c r="M112" s="5">
        <f t="shared" si="4"/>
        <v>257.40000000000003</v>
      </c>
      <c r="N112" s="5">
        <f t="shared" si="5"/>
        <v>138.59999999999997</v>
      </c>
    </row>
    <row r="113" spans="1:14">
      <c r="A113" s="6" t="s">
        <v>256</v>
      </c>
      <c r="B113" s="7">
        <v>45368</v>
      </c>
      <c r="C113" s="6" t="s">
        <v>22</v>
      </c>
      <c r="D113" s="6" t="s">
        <v>23</v>
      </c>
      <c r="E113" s="6" t="s">
        <v>42</v>
      </c>
      <c r="F113" s="6" t="s">
        <v>217</v>
      </c>
      <c r="G113" s="6" t="s">
        <v>257</v>
      </c>
      <c r="H113" s="6" t="s">
        <v>20</v>
      </c>
      <c r="I113" s="8">
        <v>1</v>
      </c>
      <c r="J113" s="8">
        <v>660</v>
      </c>
      <c r="K113" s="8">
        <v>10</v>
      </c>
      <c r="L113" s="9">
        <f t="shared" si="3"/>
        <v>594</v>
      </c>
      <c r="M113" s="9">
        <f t="shared" si="4"/>
        <v>386.1</v>
      </c>
      <c r="N113" s="9">
        <f t="shared" si="5"/>
        <v>207.89999999999998</v>
      </c>
    </row>
    <row r="114" spans="1:14">
      <c r="A114" s="2" t="s">
        <v>258</v>
      </c>
      <c r="B114" s="3">
        <v>45368</v>
      </c>
      <c r="C114" s="2" t="s">
        <v>107</v>
      </c>
      <c r="D114" s="2" t="s">
        <v>108</v>
      </c>
      <c r="E114" s="2" t="s">
        <v>17</v>
      </c>
      <c r="F114" s="2" t="s">
        <v>18</v>
      </c>
      <c r="G114" s="2" t="s">
        <v>259</v>
      </c>
      <c r="H114" s="2" t="s">
        <v>20</v>
      </c>
      <c r="I114" s="4">
        <v>2</v>
      </c>
      <c r="J114" s="4">
        <v>280</v>
      </c>
      <c r="K114" s="4">
        <v>15</v>
      </c>
      <c r="L114" s="5">
        <f t="shared" si="3"/>
        <v>476</v>
      </c>
      <c r="M114" s="5">
        <f t="shared" si="4"/>
        <v>309.40000000000003</v>
      </c>
      <c r="N114" s="5">
        <f t="shared" si="5"/>
        <v>166.59999999999997</v>
      </c>
    </row>
    <row r="115" spans="1:14">
      <c r="A115" s="6" t="s">
        <v>260</v>
      </c>
      <c r="B115" s="7">
        <v>45368</v>
      </c>
      <c r="C115" s="6" t="s">
        <v>107</v>
      </c>
      <c r="D115" s="6" t="s">
        <v>108</v>
      </c>
      <c r="E115" s="6" t="s">
        <v>42</v>
      </c>
      <c r="F115" s="6" t="s">
        <v>47</v>
      </c>
      <c r="G115" s="6" t="s">
        <v>261</v>
      </c>
      <c r="H115" s="6" t="s">
        <v>20</v>
      </c>
      <c r="I115" s="8">
        <v>3</v>
      </c>
      <c r="J115" s="8">
        <v>940</v>
      </c>
      <c r="K115" s="8">
        <v>10</v>
      </c>
      <c r="L115" s="9">
        <f t="shared" si="3"/>
        <v>2538</v>
      </c>
      <c r="M115" s="9">
        <f t="shared" si="4"/>
        <v>1649.7</v>
      </c>
      <c r="N115" s="9">
        <f t="shared" si="5"/>
        <v>888.3</v>
      </c>
    </row>
    <row r="116" spans="1:14">
      <c r="A116" s="2" t="s">
        <v>262</v>
      </c>
      <c r="B116" s="3">
        <v>45369</v>
      </c>
      <c r="C116" s="2" t="s">
        <v>28</v>
      </c>
      <c r="D116" s="2" t="s">
        <v>29</v>
      </c>
      <c r="E116" s="2" t="s">
        <v>35</v>
      </c>
      <c r="F116" s="2" t="s">
        <v>104</v>
      </c>
      <c r="G116" s="2" t="s">
        <v>263</v>
      </c>
      <c r="H116" s="2" t="s">
        <v>45</v>
      </c>
      <c r="I116" s="4">
        <v>1</v>
      </c>
      <c r="J116" s="4">
        <v>1190</v>
      </c>
      <c r="K116" s="4">
        <v>10</v>
      </c>
      <c r="L116" s="5">
        <f t="shared" si="3"/>
        <v>1071</v>
      </c>
      <c r="M116" s="5">
        <f t="shared" si="4"/>
        <v>696.15</v>
      </c>
      <c r="N116" s="5">
        <f t="shared" si="5"/>
        <v>374.85</v>
      </c>
    </row>
    <row r="117" spans="1:14">
      <c r="A117" s="6" t="s">
        <v>264</v>
      </c>
      <c r="B117" s="7">
        <v>45370</v>
      </c>
      <c r="C117" s="6" t="s">
        <v>33</v>
      </c>
      <c r="D117" s="6" t="s">
        <v>34</v>
      </c>
      <c r="E117" s="6" t="s">
        <v>24</v>
      </c>
      <c r="F117" s="6" t="s">
        <v>125</v>
      </c>
      <c r="G117" s="6" t="s">
        <v>265</v>
      </c>
      <c r="H117" s="6" t="s">
        <v>45</v>
      </c>
      <c r="I117" s="8">
        <v>4</v>
      </c>
      <c r="J117" s="8">
        <v>510</v>
      </c>
      <c r="K117" s="8">
        <v>5</v>
      </c>
      <c r="L117" s="9">
        <f t="shared" si="3"/>
        <v>1938</v>
      </c>
      <c r="M117" s="9">
        <f t="shared" si="4"/>
        <v>1259.7</v>
      </c>
      <c r="N117" s="9">
        <f t="shared" si="5"/>
        <v>678.3</v>
      </c>
    </row>
    <row r="118" spans="1:14">
      <c r="A118" s="2" t="s">
        <v>266</v>
      </c>
      <c r="B118" s="3">
        <v>45370</v>
      </c>
      <c r="C118" s="2" t="s">
        <v>15</v>
      </c>
      <c r="D118" s="2" t="s">
        <v>16</v>
      </c>
      <c r="E118" s="2" t="s">
        <v>17</v>
      </c>
      <c r="F118" s="2" t="s">
        <v>267</v>
      </c>
      <c r="G118" s="2" t="s">
        <v>81</v>
      </c>
      <c r="H118" s="2" t="s">
        <v>52</v>
      </c>
      <c r="I118" s="4">
        <v>2</v>
      </c>
      <c r="J118" s="4">
        <v>340</v>
      </c>
      <c r="K118" s="4">
        <v>15</v>
      </c>
      <c r="L118" s="5">
        <f t="shared" si="3"/>
        <v>578</v>
      </c>
      <c r="M118" s="5">
        <f t="shared" si="4"/>
        <v>375.7</v>
      </c>
      <c r="N118" s="5">
        <f t="shared" si="5"/>
        <v>202.3</v>
      </c>
    </row>
    <row r="119" spans="1:14">
      <c r="A119" s="6" t="s">
        <v>268</v>
      </c>
      <c r="B119" s="7">
        <v>45371</v>
      </c>
      <c r="C119" s="6" t="s">
        <v>28</v>
      </c>
      <c r="D119" s="6" t="s">
        <v>29</v>
      </c>
      <c r="E119" s="6" t="s">
        <v>42</v>
      </c>
      <c r="F119" s="6" t="s">
        <v>174</v>
      </c>
      <c r="G119" s="6" t="s">
        <v>269</v>
      </c>
      <c r="H119" s="6" t="s">
        <v>45</v>
      </c>
      <c r="I119" s="8">
        <v>1</v>
      </c>
      <c r="J119" s="8">
        <v>1530</v>
      </c>
      <c r="K119" s="8">
        <v>5</v>
      </c>
      <c r="L119" s="9">
        <f t="shared" si="3"/>
        <v>1453.5</v>
      </c>
      <c r="M119" s="9">
        <f t="shared" si="4"/>
        <v>944.77499999999998</v>
      </c>
      <c r="N119" s="9">
        <f t="shared" si="5"/>
        <v>508.72500000000002</v>
      </c>
    </row>
    <row r="120" spans="1:14">
      <c r="A120" s="2" t="s">
        <v>270</v>
      </c>
      <c r="B120" s="3">
        <v>45373</v>
      </c>
      <c r="C120" s="2" t="s">
        <v>33</v>
      </c>
      <c r="D120" s="2" t="s">
        <v>34</v>
      </c>
      <c r="E120" s="2" t="s">
        <v>17</v>
      </c>
      <c r="F120" s="2" t="s">
        <v>224</v>
      </c>
      <c r="G120" s="2" t="s">
        <v>271</v>
      </c>
      <c r="H120" s="2" t="s">
        <v>20</v>
      </c>
      <c r="I120" s="4">
        <v>2</v>
      </c>
      <c r="J120" s="4">
        <v>90</v>
      </c>
      <c r="K120" s="4">
        <v>15</v>
      </c>
      <c r="L120" s="5">
        <f t="shared" si="3"/>
        <v>153</v>
      </c>
      <c r="M120" s="5">
        <f t="shared" si="4"/>
        <v>99.45</v>
      </c>
      <c r="N120" s="5">
        <f t="shared" si="5"/>
        <v>53.55</v>
      </c>
    </row>
    <row r="121" spans="1:14">
      <c r="A121" s="6" t="s">
        <v>272</v>
      </c>
      <c r="B121" s="7">
        <v>45375</v>
      </c>
      <c r="C121" s="6" t="s">
        <v>28</v>
      </c>
      <c r="D121" s="6" t="s">
        <v>29</v>
      </c>
      <c r="E121" s="6" t="s">
        <v>17</v>
      </c>
      <c r="F121" s="6" t="s">
        <v>80</v>
      </c>
      <c r="G121" s="6" t="s">
        <v>273</v>
      </c>
      <c r="H121" s="6" t="s">
        <v>52</v>
      </c>
      <c r="I121" s="8">
        <v>2</v>
      </c>
      <c r="J121" s="8">
        <v>120</v>
      </c>
      <c r="K121" s="8">
        <v>10</v>
      </c>
      <c r="L121" s="9">
        <f t="shared" si="3"/>
        <v>216</v>
      </c>
      <c r="M121" s="9">
        <f t="shared" si="4"/>
        <v>140.4</v>
      </c>
      <c r="N121" s="9">
        <f t="shared" si="5"/>
        <v>75.599999999999994</v>
      </c>
    </row>
    <row r="122" spans="1:14">
      <c r="A122" s="2" t="s">
        <v>274</v>
      </c>
      <c r="B122" s="3">
        <v>45376</v>
      </c>
      <c r="C122" s="2" t="s">
        <v>15</v>
      </c>
      <c r="D122" s="2" t="s">
        <v>16</v>
      </c>
      <c r="E122" s="2" t="s">
        <v>35</v>
      </c>
      <c r="F122" s="2" t="s">
        <v>95</v>
      </c>
      <c r="G122" s="2" t="s">
        <v>275</v>
      </c>
      <c r="H122" s="2" t="s">
        <v>45</v>
      </c>
      <c r="I122" s="4">
        <v>2</v>
      </c>
      <c r="J122" s="4">
        <v>420</v>
      </c>
      <c r="K122" s="4">
        <v>10</v>
      </c>
      <c r="L122" s="5">
        <f t="shared" si="3"/>
        <v>756</v>
      </c>
      <c r="M122" s="5">
        <f t="shared" si="4"/>
        <v>491.40000000000003</v>
      </c>
      <c r="N122" s="5">
        <f t="shared" si="5"/>
        <v>264.59999999999997</v>
      </c>
    </row>
    <row r="123" spans="1:14">
      <c r="A123" s="6" t="s">
        <v>276</v>
      </c>
      <c r="B123" s="7">
        <v>45377</v>
      </c>
      <c r="C123" s="6" t="s">
        <v>33</v>
      </c>
      <c r="D123" s="6" t="s">
        <v>34</v>
      </c>
      <c r="E123" s="6" t="s">
        <v>42</v>
      </c>
      <c r="F123" s="6" t="s">
        <v>121</v>
      </c>
      <c r="G123" s="6" t="s">
        <v>277</v>
      </c>
      <c r="H123" s="6" t="s">
        <v>45</v>
      </c>
      <c r="I123" s="8">
        <v>1</v>
      </c>
      <c r="J123" s="8">
        <v>1830</v>
      </c>
      <c r="K123" s="8">
        <v>0</v>
      </c>
      <c r="L123" s="9">
        <f t="shared" si="3"/>
        <v>1830</v>
      </c>
      <c r="M123" s="9">
        <f t="shared" si="4"/>
        <v>1189.5</v>
      </c>
      <c r="N123" s="9">
        <f t="shared" si="5"/>
        <v>640.5</v>
      </c>
    </row>
    <row r="124" spans="1:14">
      <c r="A124" s="2" t="s">
        <v>278</v>
      </c>
      <c r="B124" s="3">
        <v>45377</v>
      </c>
      <c r="C124" s="2" t="s">
        <v>28</v>
      </c>
      <c r="D124" s="2" t="s">
        <v>29</v>
      </c>
      <c r="E124" s="2" t="s">
        <v>17</v>
      </c>
      <c r="F124" s="2" t="s">
        <v>206</v>
      </c>
      <c r="G124" s="2" t="s">
        <v>240</v>
      </c>
      <c r="H124" s="2" t="s">
        <v>20</v>
      </c>
      <c r="I124" s="4">
        <v>4</v>
      </c>
      <c r="J124" s="4">
        <v>100</v>
      </c>
      <c r="K124" s="4">
        <v>15</v>
      </c>
      <c r="L124" s="5">
        <f t="shared" si="3"/>
        <v>340</v>
      </c>
      <c r="M124" s="5">
        <f t="shared" si="4"/>
        <v>221</v>
      </c>
      <c r="N124" s="5">
        <f t="shared" si="5"/>
        <v>119</v>
      </c>
    </row>
    <row r="125" spans="1:14">
      <c r="A125" s="6" t="s">
        <v>279</v>
      </c>
      <c r="B125" s="7">
        <v>45377</v>
      </c>
      <c r="C125" s="6" t="s">
        <v>33</v>
      </c>
      <c r="D125" s="6" t="s">
        <v>34</v>
      </c>
      <c r="E125" s="6" t="s">
        <v>24</v>
      </c>
      <c r="F125" s="6" t="s">
        <v>83</v>
      </c>
      <c r="G125" s="6" t="s">
        <v>185</v>
      </c>
      <c r="H125" s="6" t="s">
        <v>52</v>
      </c>
      <c r="I125" s="8">
        <v>1</v>
      </c>
      <c r="J125" s="8">
        <v>630</v>
      </c>
      <c r="K125" s="8">
        <v>15</v>
      </c>
      <c r="L125" s="9">
        <f t="shared" si="3"/>
        <v>535.5</v>
      </c>
      <c r="M125" s="9">
        <f t="shared" si="4"/>
        <v>348.07499999999999</v>
      </c>
      <c r="N125" s="9">
        <f t="shared" si="5"/>
        <v>187.42500000000001</v>
      </c>
    </row>
    <row r="126" spans="1:14">
      <c r="A126" s="2" t="s">
        <v>280</v>
      </c>
      <c r="B126" s="3">
        <v>45377</v>
      </c>
      <c r="C126" s="2" t="s">
        <v>15</v>
      </c>
      <c r="D126" s="2" t="s">
        <v>16</v>
      </c>
      <c r="E126" s="2" t="s">
        <v>17</v>
      </c>
      <c r="F126" s="2" t="s">
        <v>18</v>
      </c>
      <c r="G126" s="2" t="s">
        <v>281</v>
      </c>
      <c r="H126" s="2" t="s">
        <v>45</v>
      </c>
      <c r="I126" s="4">
        <v>1</v>
      </c>
      <c r="J126" s="4">
        <v>270</v>
      </c>
      <c r="K126" s="4">
        <v>5</v>
      </c>
      <c r="L126" s="5">
        <f t="shared" si="3"/>
        <v>256.5</v>
      </c>
      <c r="M126" s="5">
        <f t="shared" si="4"/>
        <v>166.72499999999999</v>
      </c>
      <c r="N126" s="5">
        <f t="shared" si="5"/>
        <v>89.775000000000006</v>
      </c>
    </row>
    <row r="127" spans="1:14">
      <c r="A127" s="6" t="s">
        <v>282</v>
      </c>
      <c r="B127" s="7">
        <v>45377</v>
      </c>
      <c r="C127" s="6" t="s">
        <v>22</v>
      </c>
      <c r="D127" s="6" t="s">
        <v>23</v>
      </c>
      <c r="E127" s="6" t="s">
        <v>42</v>
      </c>
      <c r="F127" s="6" t="s">
        <v>43</v>
      </c>
      <c r="G127" s="6" t="s">
        <v>195</v>
      </c>
      <c r="H127" s="6" t="s">
        <v>52</v>
      </c>
      <c r="I127" s="8">
        <v>4</v>
      </c>
      <c r="J127" s="8">
        <v>3300</v>
      </c>
      <c r="K127" s="8">
        <v>15</v>
      </c>
      <c r="L127" s="9">
        <f t="shared" si="3"/>
        <v>11220</v>
      </c>
      <c r="M127" s="9">
        <f t="shared" si="4"/>
        <v>7293</v>
      </c>
      <c r="N127" s="9">
        <f t="shared" si="5"/>
        <v>3927</v>
      </c>
    </row>
    <row r="128" spans="1:14">
      <c r="A128" s="2" t="s">
        <v>283</v>
      </c>
      <c r="B128" s="3">
        <v>45378</v>
      </c>
      <c r="C128" s="2" t="s">
        <v>15</v>
      </c>
      <c r="D128" s="2" t="s">
        <v>16</v>
      </c>
      <c r="E128" s="2" t="s">
        <v>17</v>
      </c>
      <c r="F128" s="2" t="s">
        <v>102</v>
      </c>
      <c r="G128" s="2" t="s">
        <v>284</v>
      </c>
      <c r="H128" s="2" t="s">
        <v>45</v>
      </c>
      <c r="I128" s="4">
        <v>1</v>
      </c>
      <c r="J128" s="4">
        <v>180</v>
      </c>
      <c r="K128" s="4">
        <v>0</v>
      </c>
      <c r="L128" s="5">
        <f t="shared" si="3"/>
        <v>180</v>
      </c>
      <c r="M128" s="5">
        <f t="shared" si="4"/>
        <v>117</v>
      </c>
      <c r="N128" s="5">
        <f t="shared" si="5"/>
        <v>63</v>
      </c>
    </row>
    <row r="129" spans="1:14">
      <c r="A129" s="6" t="s">
        <v>285</v>
      </c>
      <c r="B129" s="7">
        <v>45379</v>
      </c>
      <c r="C129" s="6" t="s">
        <v>22</v>
      </c>
      <c r="D129" s="6" t="s">
        <v>23</v>
      </c>
      <c r="E129" s="6" t="s">
        <v>35</v>
      </c>
      <c r="F129" s="6" t="s">
        <v>109</v>
      </c>
      <c r="G129" s="6" t="s">
        <v>128</v>
      </c>
      <c r="H129" s="6" t="s">
        <v>45</v>
      </c>
      <c r="I129" s="8">
        <v>2</v>
      </c>
      <c r="J129" s="8">
        <v>410</v>
      </c>
      <c r="K129" s="8">
        <v>10</v>
      </c>
      <c r="L129" s="9">
        <f t="shared" si="3"/>
        <v>738</v>
      </c>
      <c r="M129" s="9">
        <f t="shared" si="4"/>
        <v>479.7</v>
      </c>
      <c r="N129" s="9">
        <f t="shared" si="5"/>
        <v>258.3</v>
      </c>
    </row>
    <row r="130" spans="1:14">
      <c r="A130" s="2" t="s">
        <v>286</v>
      </c>
      <c r="B130" s="3">
        <v>45379</v>
      </c>
      <c r="C130" s="2" t="s">
        <v>15</v>
      </c>
      <c r="D130" s="2" t="s">
        <v>16</v>
      </c>
      <c r="E130" s="2" t="s">
        <v>35</v>
      </c>
      <c r="F130" s="2" t="s">
        <v>50</v>
      </c>
      <c r="G130" s="2" t="s">
        <v>134</v>
      </c>
      <c r="H130" s="2" t="s">
        <v>20</v>
      </c>
      <c r="I130" s="4">
        <v>4</v>
      </c>
      <c r="J130" s="4">
        <v>310</v>
      </c>
      <c r="K130" s="4">
        <v>5</v>
      </c>
      <c r="L130" s="5">
        <f t="shared" ref="L130:L193" si="6">I130*J130*(1-K130/100)</f>
        <v>1178</v>
      </c>
      <c r="M130" s="5">
        <f t="shared" ref="M130:M193" si="7">L130*0.65</f>
        <v>765.7</v>
      </c>
      <c r="N130" s="5">
        <f t="shared" ref="N130:N193" si="8">L130-M130</f>
        <v>412.29999999999995</v>
      </c>
    </row>
    <row r="131" spans="1:14">
      <c r="A131" s="6" t="s">
        <v>287</v>
      </c>
      <c r="B131" s="7">
        <v>45381</v>
      </c>
      <c r="C131" s="6" t="s">
        <v>28</v>
      </c>
      <c r="D131" s="6" t="s">
        <v>29</v>
      </c>
      <c r="E131" s="6" t="s">
        <v>24</v>
      </c>
      <c r="F131" s="6" t="s">
        <v>125</v>
      </c>
      <c r="G131" s="6" t="s">
        <v>137</v>
      </c>
      <c r="H131" s="6" t="s">
        <v>52</v>
      </c>
      <c r="I131" s="8">
        <v>1</v>
      </c>
      <c r="J131" s="8">
        <v>550</v>
      </c>
      <c r="K131" s="8">
        <v>20</v>
      </c>
      <c r="L131" s="9">
        <f t="shared" si="6"/>
        <v>440</v>
      </c>
      <c r="M131" s="9">
        <f t="shared" si="7"/>
        <v>286</v>
      </c>
      <c r="N131" s="9">
        <f t="shared" si="8"/>
        <v>154</v>
      </c>
    </row>
    <row r="132" spans="1:14">
      <c r="A132" s="2" t="s">
        <v>288</v>
      </c>
      <c r="B132" s="3">
        <v>45381</v>
      </c>
      <c r="C132" s="2" t="s">
        <v>22</v>
      </c>
      <c r="D132" s="2" t="s">
        <v>23</v>
      </c>
      <c r="E132" s="2" t="s">
        <v>35</v>
      </c>
      <c r="F132" s="2" t="s">
        <v>50</v>
      </c>
      <c r="G132" s="2" t="s">
        <v>289</v>
      </c>
      <c r="H132" s="2" t="s">
        <v>20</v>
      </c>
      <c r="I132" s="4">
        <v>1</v>
      </c>
      <c r="J132" s="4">
        <v>300</v>
      </c>
      <c r="K132" s="4">
        <v>5</v>
      </c>
      <c r="L132" s="5">
        <f t="shared" si="6"/>
        <v>285</v>
      </c>
      <c r="M132" s="5">
        <f t="shared" si="7"/>
        <v>185.25</v>
      </c>
      <c r="N132" s="5">
        <f t="shared" si="8"/>
        <v>99.75</v>
      </c>
    </row>
    <row r="133" spans="1:14">
      <c r="A133" s="6" t="s">
        <v>290</v>
      </c>
      <c r="B133" s="7">
        <v>45384</v>
      </c>
      <c r="C133" s="6" t="s">
        <v>22</v>
      </c>
      <c r="D133" s="6" t="s">
        <v>23</v>
      </c>
      <c r="E133" s="6" t="s">
        <v>24</v>
      </c>
      <c r="F133" s="6" t="s">
        <v>63</v>
      </c>
      <c r="G133" s="6" t="s">
        <v>291</v>
      </c>
      <c r="H133" s="6" t="s">
        <v>20</v>
      </c>
      <c r="I133" s="8">
        <v>1</v>
      </c>
      <c r="J133" s="8">
        <v>1360</v>
      </c>
      <c r="K133" s="8">
        <v>10</v>
      </c>
      <c r="L133" s="9">
        <f t="shared" si="6"/>
        <v>1224</v>
      </c>
      <c r="M133" s="9">
        <f t="shared" si="7"/>
        <v>795.6</v>
      </c>
      <c r="N133" s="9">
        <f t="shared" si="8"/>
        <v>428.4</v>
      </c>
    </row>
    <row r="134" spans="1:14">
      <c r="A134" s="2" t="s">
        <v>292</v>
      </c>
      <c r="B134" s="3">
        <v>45388</v>
      </c>
      <c r="C134" s="2" t="s">
        <v>22</v>
      </c>
      <c r="D134" s="2" t="s">
        <v>23</v>
      </c>
      <c r="E134" s="2" t="s">
        <v>24</v>
      </c>
      <c r="F134" s="2" t="s">
        <v>63</v>
      </c>
      <c r="G134" s="2" t="s">
        <v>293</v>
      </c>
      <c r="H134" s="2" t="s">
        <v>20</v>
      </c>
      <c r="I134" s="4">
        <v>4</v>
      </c>
      <c r="J134" s="4">
        <v>1410</v>
      </c>
      <c r="K134" s="4">
        <v>5</v>
      </c>
      <c r="L134" s="5">
        <f t="shared" si="6"/>
        <v>5358</v>
      </c>
      <c r="M134" s="5">
        <f t="shared" si="7"/>
        <v>3482.7000000000003</v>
      </c>
      <c r="N134" s="5">
        <f t="shared" si="8"/>
        <v>1875.2999999999997</v>
      </c>
    </row>
    <row r="135" spans="1:14">
      <c r="A135" s="6" t="s">
        <v>294</v>
      </c>
      <c r="B135" s="7">
        <v>45389</v>
      </c>
      <c r="C135" s="6" t="s">
        <v>22</v>
      </c>
      <c r="D135" s="6" t="s">
        <v>23</v>
      </c>
      <c r="E135" s="6" t="s">
        <v>17</v>
      </c>
      <c r="F135" s="6" t="s">
        <v>80</v>
      </c>
      <c r="G135" s="6" t="s">
        <v>295</v>
      </c>
      <c r="H135" s="6" t="s">
        <v>20</v>
      </c>
      <c r="I135" s="8">
        <v>1</v>
      </c>
      <c r="J135" s="8">
        <v>130</v>
      </c>
      <c r="K135" s="8">
        <v>10</v>
      </c>
      <c r="L135" s="9">
        <f t="shared" si="6"/>
        <v>117</v>
      </c>
      <c r="M135" s="9">
        <f t="shared" si="7"/>
        <v>76.05</v>
      </c>
      <c r="N135" s="9">
        <f t="shared" si="8"/>
        <v>40.950000000000003</v>
      </c>
    </row>
    <row r="136" spans="1:14">
      <c r="A136" s="2" t="s">
        <v>296</v>
      </c>
      <c r="B136" s="3">
        <v>45389</v>
      </c>
      <c r="C136" s="2" t="s">
        <v>15</v>
      </c>
      <c r="D136" s="2" t="s">
        <v>16</v>
      </c>
      <c r="E136" s="2" t="s">
        <v>35</v>
      </c>
      <c r="F136" s="2" t="s">
        <v>104</v>
      </c>
      <c r="G136" s="2" t="s">
        <v>297</v>
      </c>
      <c r="H136" s="2" t="s">
        <v>45</v>
      </c>
      <c r="I136" s="4">
        <v>4</v>
      </c>
      <c r="J136" s="4">
        <v>1350</v>
      </c>
      <c r="K136" s="4">
        <v>10</v>
      </c>
      <c r="L136" s="5">
        <f t="shared" si="6"/>
        <v>4860</v>
      </c>
      <c r="M136" s="5">
        <f t="shared" si="7"/>
        <v>3159</v>
      </c>
      <c r="N136" s="5">
        <f t="shared" si="8"/>
        <v>1701</v>
      </c>
    </row>
    <row r="137" spans="1:14">
      <c r="A137" s="6" t="s">
        <v>298</v>
      </c>
      <c r="B137" s="7">
        <v>45390</v>
      </c>
      <c r="C137" s="6" t="s">
        <v>107</v>
      </c>
      <c r="D137" s="6" t="s">
        <v>108</v>
      </c>
      <c r="E137" s="6" t="s">
        <v>42</v>
      </c>
      <c r="F137" s="6" t="s">
        <v>47</v>
      </c>
      <c r="G137" s="6" t="s">
        <v>299</v>
      </c>
      <c r="H137" s="6" t="s">
        <v>20</v>
      </c>
      <c r="I137" s="8">
        <v>5</v>
      </c>
      <c r="J137" s="8">
        <v>910</v>
      </c>
      <c r="K137" s="8">
        <v>15</v>
      </c>
      <c r="L137" s="9">
        <f t="shared" si="6"/>
        <v>3867.5</v>
      </c>
      <c r="M137" s="9">
        <f t="shared" si="7"/>
        <v>2513.875</v>
      </c>
      <c r="N137" s="9">
        <f t="shared" si="8"/>
        <v>1353.625</v>
      </c>
    </row>
    <row r="138" spans="1:14">
      <c r="A138" s="2" t="s">
        <v>300</v>
      </c>
      <c r="B138" s="3">
        <v>45392</v>
      </c>
      <c r="C138" s="2" t="s">
        <v>22</v>
      </c>
      <c r="D138" s="2" t="s">
        <v>23</v>
      </c>
      <c r="E138" s="2" t="s">
        <v>24</v>
      </c>
      <c r="F138" s="2" t="s">
        <v>71</v>
      </c>
      <c r="G138" s="2" t="s">
        <v>301</v>
      </c>
      <c r="H138" s="2" t="s">
        <v>45</v>
      </c>
      <c r="I138" s="4">
        <v>2</v>
      </c>
      <c r="J138" s="4">
        <v>810</v>
      </c>
      <c r="K138" s="4">
        <v>10</v>
      </c>
      <c r="L138" s="5">
        <f t="shared" si="6"/>
        <v>1458</v>
      </c>
      <c r="M138" s="5">
        <f t="shared" si="7"/>
        <v>947.7</v>
      </c>
      <c r="N138" s="5">
        <f t="shared" si="8"/>
        <v>510.29999999999995</v>
      </c>
    </row>
    <row r="139" spans="1:14">
      <c r="A139" s="6" t="s">
        <v>302</v>
      </c>
      <c r="B139" s="7">
        <v>45393</v>
      </c>
      <c r="C139" s="6" t="s">
        <v>22</v>
      </c>
      <c r="D139" s="6" t="s">
        <v>23</v>
      </c>
      <c r="E139" s="6" t="s">
        <v>35</v>
      </c>
      <c r="F139" s="6" t="s">
        <v>104</v>
      </c>
      <c r="G139" s="6" t="s">
        <v>269</v>
      </c>
      <c r="H139" s="6" t="s">
        <v>52</v>
      </c>
      <c r="I139" s="8">
        <v>1</v>
      </c>
      <c r="J139" s="8">
        <v>1290</v>
      </c>
      <c r="K139" s="8">
        <v>10</v>
      </c>
      <c r="L139" s="9">
        <f t="shared" si="6"/>
        <v>1161</v>
      </c>
      <c r="M139" s="9">
        <f t="shared" si="7"/>
        <v>754.65</v>
      </c>
      <c r="N139" s="9">
        <f t="shared" si="8"/>
        <v>406.35</v>
      </c>
    </row>
    <row r="140" spans="1:14">
      <c r="A140" s="2" t="s">
        <v>303</v>
      </c>
      <c r="B140" s="3">
        <v>45393</v>
      </c>
      <c r="C140" s="2" t="s">
        <v>28</v>
      </c>
      <c r="D140" s="2" t="s">
        <v>29</v>
      </c>
      <c r="E140" s="2" t="s">
        <v>42</v>
      </c>
      <c r="F140" s="2" t="s">
        <v>113</v>
      </c>
      <c r="G140" s="2" t="s">
        <v>304</v>
      </c>
      <c r="H140" s="2" t="s">
        <v>52</v>
      </c>
      <c r="I140" s="4">
        <v>1</v>
      </c>
      <c r="J140" s="4">
        <v>820</v>
      </c>
      <c r="K140" s="4">
        <v>10</v>
      </c>
      <c r="L140" s="5">
        <f t="shared" si="6"/>
        <v>738</v>
      </c>
      <c r="M140" s="5">
        <f t="shared" si="7"/>
        <v>479.7</v>
      </c>
      <c r="N140" s="5">
        <f t="shared" si="8"/>
        <v>258.3</v>
      </c>
    </row>
    <row r="141" spans="1:14">
      <c r="A141" s="6" t="s">
        <v>305</v>
      </c>
      <c r="B141" s="7">
        <v>45394</v>
      </c>
      <c r="C141" s="6" t="s">
        <v>22</v>
      </c>
      <c r="D141" s="6" t="s">
        <v>23</v>
      </c>
      <c r="E141" s="6" t="s">
        <v>24</v>
      </c>
      <c r="F141" s="6" t="s">
        <v>83</v>
      </c>
      <c r="G141" s="6" t="s">
        <v>306</v>
      </c>
      <c r="H141" s="6" t="s">
        <v>52</v>
      </c>
      <c r="I141" s="8">
        <v>2</v>
      </c>
      <c r="J141" s="8">
        <v>550</v>
      </c>
      <c r="K141" s="8">
        <v>10</v>
      </c>
      <c r="L141" s="9">
        <f t="shared" si="6"/>
        <v>990</v>
      </c>
      <c r="M141" s="9">
        <f t="shared" si="7"/>
        <v>643.5</v>
      </c>
      <c r="N141" s="9">
        <f t="shared" si="8"/>
        <v>346.5</v>
      </c>
    </row>
    <row r="142" spans="1:14">
      <c r="A142" s="2" t="s">
        <v>307</v>
      </c>
      <c r="B142" s="3">
        <v>45394</v>
      </c>
      <c r="C142" s="2" t="s">
        <v>15</v>
      </c>
      <c r="D142" s="2" t="s">
        <v>16</v>
      </c>
      <c r="E142" s="2" t="s">
        <v>42</v>
      </c>
      <c r="F142" s="2" t="s">
        <v>113</v>
      </c>
      <c r="G142" s="2" t="s">
        <v>156</v>
      </c>
      <c r="H142" s="2" t="s">
        <v>52</v>
      </c>
      <c r="I142" s="4">
        <v>2</v>
      </c>
      <c r="J142" s="4">
        <v>750</v>
      </c>
      <c r="K142" s="4">
        <v>10</v>
      </c>
      <c r="L142" s="5">
        <f t="shared" si="6"/>
        <v>1350</v>
      </c>
      <c r="M142" s="5">
        <f t="shared" si="7"/>
        <v>877.5</v>
      </c>
      <c r="N142" s="5">
        <f t="shared" si="8"/>
        <v>472.5</v>
      </c>
    </row>
    <row r="143" spans="1:14">
      <c r="A143" s="6" t="s">
        <v>308</v>
      </c>
      <c r="B143" s="7">
        <v>45396</v>
      </c>
      <c r="C143" s="6" t="s">
        <v>33</v>
      </c>
      <c r="D143" s="6" t="s">
        <v>34</v>
      </c>
      <c r="E143" s="6" t="s">
        <v>24</v>
      </c>
      <c r="F143" s="6" t="s">
        <v>83</v>
      </c>
      <c r="G143" s="6" t="s">
        <v>309</v>
      </c>
      <c r="H143" s="6" t="s">
        <v>20</v>
      </c>
      <c r="I143" s="8">
        <v>2</v>
      </c>
      <c r="J143" s="8">
        <v>590</v>
      </c>
      <c r="K143" s="8">
        <v>5</v>
      </c>
      <c r="L143" s="9">
        <f t="shared" si="6"/>
        <v>1121</v>
      </c>
      <c r="M143" s="9">
        <f t="shared" si="7"/>
        <v>728.65</v>
      </c>
      <c r="N143" s="9">
        <f t="shared" si="8"/>
        <v>392.35</v>
      </c>
    </row>
    <row r="144" spans="1:14">
      <c r="A144" s="2" t="s">
        <v>310</v>
      </c>
      <c r="B144" s="3">
        <v>45396</v>
      </c>
      <c r="C144" s="2" t="s">
        <v>33</v>
      </c>
      <c r="D144" s="2" t="s">
        <v>34</v>
      </c>
      <c r="E144" s="2" t="s">
        <v>24</v>
      </c>
      <c r="F144" s="2" t="s">
        <v>54</v>
      </c>
      <c r="G144" s="2" t="s">
        <v>311</v>
      </c>
      <c r="H144" s="2" t="s">
        <v>20</v>
      </c>
      <c r="I144" s="4">
        <v>4</v>
      </c>
      <c r="J144" s="4">
        <v>370</v>
      </c>
      <c r="K144" s="4">
        <v>10</v>
      </c>
      <c r="L144" s="5">
        <f t="shared" si="6"/>
        <v>1332</v>
      </c>
      <c r="M144" s="5">
        <f t="shared" si="7"/>
        <v>865.80000000000007</v>
      </c>
      <c r="N144" s="5">
        <f t="shared" si="8"/>
        <v>466.19999999999993</v>
      </c>
    </row>
    <row r="145" spans="1:14">
      <c r="A145" s="6" t="s">
        <v>312</v>
      </c>
      <c r="B145" s="7">
        <v>45396</v>
      </c>
      <c r="C145" s="6" t="s">
        <v>28</v>
      </c>
      <c r="D145" s="6" t="s">
        <v>29</v>
      </c>
      <c r="E145" s="6" t="s">
        <v>35</v>
      </c>
      <c r="F145" s="6" t="s">
        <v>60</v>
      </c>
      <c r="G145" s="6" t="s">
        <v>93</v>
      </c>
      <c r="H145" s="6" t="s">
        <v>45</v>
      </c>
      <c r="I145" s="8">
        <v>1</v>
      </c>
      <c r="J145" s="8">
        <v>730</v>
      </c>
      <c r="K145" s="8">
        <v>10</v>
      </c>
      <c r="L145" s="9">
        <f t="shared" si="6"/>
        <v>657</v>
      </c>
      <c r="M145" s="9">
        <f t="shared" si="7"/>
        <v>427.05</v>
      </c>
      <c r="N145" s="9">
        <f t="shared" si="8"/>
        <v>229.95</v>
      </c>
    </row>
    <row r="146" spans="1:14">
      <c r="A146" s="2" t="s">
        <v>313</v>
      </c>
      <c r="B146" s="3">
        <v>45397</v>
      </c>
      <c r="C146" s="2" t="s">
        <v>22</v>
      </c>
      <c r="D146" s="2" t="s">
        <v>23</v>
      </c>
      <c r="E146" s="2" t="s">
        <v>24</v>
      </c>
      <c r="F146" s="2" t="s">
        <v>25</v>
      </c>
      <c r="G146" s="2" t="s">
        <v>314</v>
      </c>
      <c r="H146" s="2" t="s">
        <v>52</v>
      </c>
      <c r="I146" s="4">
        <v>1</v>
      </c>
      <c r="J146" s="4">
        <v>750</v>
      </c>
      <c r="K146" s="4">
        <v>15</v>
      </c>
      <c r="L146" s="5">
        <f t="shared" si="6"/>
        <v>637.5</v>
      </c>
      <c r="M146" s="5">
        <f t="shared" si="7"/>
        <v>414.375</v>
      </c>
      <c r="N146" s="5">
        <f t="shared" si="8"/>
        <v>223.125</v>
      </c>
    </row>
    <row r="147" spans="1:14">
      <c r="A147" s="6" t="s">
        <v>315</v>
      </c>
      <c r="B147" s="7">
        <v>45397</v>
      </c>
      <c r="C147" s="6" t="s">
        <v>28</v>
      </c>
      <c r="D147" s="6" t="s">
        <v>29</v>
      </c>
      <c r="E147" s="6" t="s">
        <v>17</v>
      </c>
      <c r="F147" s="6" t="s">
        <v>102</v>
      </c>
      <c r="G147" s="6" t="s">
        <v>316</v>
      </c>
      <c r="H147" s="6" t="s">
        <v>52</v>
      </c>
      <c r="I147" s="8">
        <v>1</v>
      </c>
      <c r="J147" s="8">
        <v>210</v>
      </c>
      <c r="K147" s="8">
        <v>20</v>
      </c>
      <c r="L147" s="9">
        <f t="shared" si="6"/>
        <v>168</v>
      </c>
      <c r="M147" s="9">
        <f t="shared" si="7"/>
        <v>109.2</v>
      </c>
      <c r="N147" s="9">
        <f t="shared" si="8"/>
        <v>58.8</v>
      </c>
    </row>
    <row r="148" spans="1:14">
      <c r="A148" s="2" t="s">
        <v>317</v>
      </c>
      <c r="B148" s="3">
        <v>45398</v>
      </c>
      <c r="C148" s="2" t="s">
        <v>22</v>
      </c>
      <c r="D148" s="2" t="s">
        <v>23</v>
      </c>
      <c r="E148" s="2" t="s">
        <v>24</v>
      </c>
      <c r="F148" s="2" t="s">
        <v>39</v>
      </c>
      <c r="G148" s="2" t="s">
        <v>257</v>
      </c>
      <c r="H148" s="2" t="s">
        <v>52</v>
      </c>
      <c r="I148" s="4">
        <v>2</v>
      </c>
      <c r="J148" s="4">
        <v>1160</v>
      </c>
      <c r="K148" s="4">
        <v>15</v>
      </c>
      <c r="L148" s="5">
        <f t="shared" si="6"/>
        <v>1972</v>
      </c>
      <c r="M148" s="5">
        <f t="shared" si="7"/>
        <v>1281.8</v>
      </c>
      <c r="N148" s="5">
        <f t="shared" si="8"/>
        <v>690.2</v>
      </c>
    </row>
    <row r="149" spans="1:14">
      <c r="A149" s="6" t="s">
        <v>318</v>
      </c>
      <c r="B149" s="7">
        <v>45400</v>
      </c>
      <c r="C149" s="6" t="s">
        <v>22</v>
      </c>
      <c r="D149" s="6" t="s">
        <v>23</v>
      </c>
      <c r="E149" s="6" t="s">
        <v>17</v>
      </c>
      <c r="F149" s="6" t="s">
        <v>30</v>
      </c>
      <c r="G149" s="6" t="s">
        <v>137</v>
      </c>
      <c r="H149" s="6" t="s">
        <v>52</v>
      </c>
      <c r="I149" s="8">
        <v>2</v>
      </c>
      <c r="J149" s="8">
        <v>260</v>
      </c>
      <c r="K149" s="8">
        <v>10</v>
      </c>
      <c r="L149" s="9">
        <f t="shared" si="6"/>
        <v>468</v>
      </c>
      <c r="M149" s="9">
        <f t="shared" si="7"/>
        <v>304.2</v>
      </c>
      <c r="N149" s="9">
        <f t="shared" si="8"/>
        <v>163.80000000000001</v>
      </c>
    </row>
    <row r="150" spans="1:14">
      <c r="A150" s="2" t="s">
        <v>319</v>
      </c>
      <c r="B150" s="3">
        <v>45400</v>
      </c>
      <c r="C150" s="2" t="s">
        <v>28</v>
      </c>
      <c r="D150" s="2" t="s">
        <v>29</v>
      </c>
      <c r="E150" s="2" t="s">
        <v>17</v>
      </c>
      <c r="F150" s="2" t="s">
        <v>102</v>
      </c>
      <c r="G150" s="2" t="s">
        <v>320</v>
      </c>
      <c r="H150" s="2" t="s">
        <v>45</v>
      </c>
      <c r="I150" s="4">
        <v>5</v>
      </c>
      <c r="J150" s="4">
        <v>210</v>
      </c>
      <c r="K150" s="4">
        <v>5</v>
      </c>
      <c r="L150" s="5">
        <f t="shared" si="6"/>
        <v>997.5</v>
      </c>
      <c r="M150" s="5">
        <f t="shared" si="7"/>
        <v>648.375</v>
      </c>
      <c r="N150" s="5">
        <f t="shared" si="8"/>
        <v>349.125</v>
      </c>
    </row>
    <row r="151" spans="1:14">
      <c r="A151" s="6" t="s">
        <v>321</v>
      </c>
      <c r="B151" s="7">
        <v>45405</v>
      </c>
      <c r="C151" s="6" t="s">
        <v>107</v>
      </c>
      <c r="D151" s="6" t="s">
        <v>108</v>
      </c>
      <c r="E151" s="6" t="s">
        <v>35</v>
      </c>
      <c r="F151" s="6" t="s">
        <v>109</v>
      </c>
      <c r="G151" s="6" t="s">
        <v>96</v>
      </c>
      <c r="H151" s="6" t="s">
        <v>45</v>
      </c>
      <c r="I151" s="8">
        <v>2</v>
      </c>
      <c r="J151" s="8">
        <v>430</v>
      </c>
      <c r="K151" s="8">
        <v>5</v>
      </c>
      <c r="L151" s="9">
        <f t="shared" si="6"/>
        <v>817</v>
      </c>
      <c r="M151" s="9">
        <f t="shared" si="7"/>
        <v>531.05000000000007</v>
      </c>
      <c r="N151" s="9">
        <f t="shared" si="8"/>
        <v>285.94999999999993</v>
      </c>
    </row>
    <row r="152" spans="1:14">
      <c r="A152" s="2" t="s">
        <v>322</v>
      </c>
      <c r="B152" s="3">
        <v>45405</v>
      </c>
      <c r="C152" s="2" t="s">
        <v>107</v>
      </c>
      <c r="D152" s="2" t="s">
        <v>108</v>
      </c>
      <c r="E152" s="2" t="s">
        <v>24</v>
      </c>
      <c r="F152" s="2" t="s">
        <v>63</v>
      </c>
      <c r="G152" s="2" t="s">
        <v>323</v>
      </c>
      <c r="H152" s="2" t="s">
        <v>52</v>
      </c>
      <c r="I152" s="4">
        <v>1</v>
      </c>
      <c r="J152" s="4">
        <v>1400</v>
      </c>
      <c r="K152" s="4">
        <v>20</v>
      </c>
      <c r="L152" s="5">
        <f t="shared" si="6"/>
        <v>1120</v>
      </c>
      <c r="M152" s="5">
        <f t="shared" si="7"/>
        <v>728</v>
      </c>
      <c r="N152" s="5">
        <f t="shared" si="8"/>
        <v>392</v>
      </c>
    </row>
    <row r="153" spans="1:14">
      <c r="A153" s="6" t="s">
        <v>324</v>
      </c>
      <c r="B153" s="7">
        <v>45405</v>
      </c>
      <c r="C153" s="6" t="s">
        <v>22</v>
      </c>
      <c r="D153" s="6" t="s">
        <v>23</v>
      </c>
      <c r="E153" s="6" t="s">
        <v>17</v>
      </c>
      <c r="F153" s="6" t="s">
        <v>30</v>
      </c>
      <c r="G153" s="6" t="s">
        <v>309</v>
      </c>
      <c r="H153" s="6" t="s">
        <v>52</v>
      </c>
      <c r="I153" s="8">
        <v>4</v>
      </c>
      <c r="J153" s="8">
        <v>230</v>
      </c>
      <c r="K153" s="8">
        <v>20</v>
      </c>
      <c r="L153" s="9">
        <f t="shared" si="6"/>
        <v>736</v>
      </c>
      <c r="M153" s="9">
        <f t="shared" si="7"/>
        <v>478.40000000000003</v>
      </c>
      <c r="N153" s="9">
        <f t="shared" si="8"/>
        <v>257.59999999999997</v>
      </c>
    </row>
    <row r="154" spans="1:14">
      <c r="A154" s="2" t="s">
        <v>325</v>
      </c>
      <c r="B154" s="3">
        <v>45406</v>
      </c>
      <c r="C154" s="2" t="s">
        <v>22</v>
      </c>
      <c r="D154" s="2" t="s">
        <v>23</v>
      </c>
      <c r="E154" s="2" t="s">
        <v>24</v>
      </c>
      <c r="F154" s="2" t="s">
        <v>25</v>
      </c>
      <c r="G154" s="2" t="s">
        <v>55</v>
      </c>
      <c r="H154" s="2" t="s">
        <v>45</v>
      </c>
      <c r="I154" s="4">
        <v>1</v>
      </c>
      <c r="J154" s="4">
        <v>720</v>
      </c>
      <c r="K154" s="4">
        <v>0</v>
      </c>
      <c r="L154" s="5">
        <f t="shared" si="6"/>
        <v>720</v>
      </c>
      <c r="M154" s="5">
        <f t="shared" si="7"/>
        <v>468</v>
      </c>
      <c r="N154" s="5">
        <f t="shared" si="8"/>
        <v>252</v>
      </c>
    </row>
    <row r="155" spans="1:14">
      <c r="A155" s="6" t="s">
        <v>326</v>
      </c>
      <c r="B155" s="7">
        <v>45407</v>
      </c>
      <c r="C155" s="6" t="s">
        <v>33</v>
      </c>
      <c r="D155" s="6" t="s">
        <v>34</v>
      </c>
      <c r="E155" s="6" t="s">
        <v>17</v>
      </c>
      <c r="F155" s="6" t="s">
        <v>116</v>
      </c>
      <c r="G155" s="6" t="s">
        <v>327</v>
      </c>
      <c r="H155" s="6" t="s">
        <v>52</v>
      </c>
      <c r="I155" s="8">
        <v>1</v>
      </c>
      <c r="J155" s="8">
        <v>140</v>
      </c>
      <c r="K155" s="8">
        <v>20</v>
      </c>
      <c r="L155" s="9">
        <f t="shared" si="6"/>
        <v>112</v>
      </c>
      <c r="M155" s="9">
        <f t="shared" si="7"/>
        <v>72.8</v>
      </c>
      <c r="N155" s="9">
        <f t="shared" si="8"/>
        <v>39.200000000000003</v>
      </c>
    </row>
    <row r="156" spans="1:14">
      <c r="A156" s="2" t="s">
        <v>328</v>
      </c>
      <c r="B156" s="3">
        <v>45407</v>
      </c>
      <c r="C156" s="2" t="s">
        <v>107</v>
      </c>
      <c r="D156" s="2" t="s">
        <v>108</v>
      </c>
      <c r="E156" s="2" t="s">
        <v>17</v>
      </c>
      <c r="F156" s="2" t="s">
        <v>206</v>
      </c>
      <c r="G156" s="2" t="s">
        <v>75</v>
      </c>
      <c r="H156" s="2" t="s">
        <v>52</v>
      </c>
      <c r="I156" s="4">
        <v>2</v>
      </c>
      <c r="J156" s="4">
        <v>100</v>
      </c>
      <c r="K156" s="4">
        <v>15</v>
      </c>
      <c r="L156" s="5">
        <f t="shared" si="6"/>
        <v>170</v>
      </c>
      <c r="M156" s="5">
        <f t="shared" si="7"/>
        <v>110.5</v>
      </c>
      <c r="N156" s="5">
        <f t="shared" si="8"/>
        <v>59.5</v>
      </c>
    </row>
    <row r="157" spans="1:14">
      <c r="A157" s="6" t="s">
        <v>329</v>
      </c>
      <c r="B157" s="7">
        <v>45407</v>
      </c>
      <c r="C157" s="6" t="s">
        <v>33</v>
      </c>
      <c r="D157" s="6" t="s">
        <v>34</v>
      </c>
      <c r="E157" s="6" t="s">
        <v>24</v>
      </c>
      <c r="F157" s="6" t="s">
        <v>39</v>
      </c>
      <c r="G157" s="6" t="s">
        <v>330</v>
      </c>
      <c r="H157" s="6" t="s">
        <v>52</v>
      </c>
      <c r="I157" s="8">
        <v>1</v>
      </c>
      <c r="J157" s="8">
        <v>1150</v>
      </c>
      <c r="K157" s="8">
        <v>10</v>
      </c>
      <c r="L157" s="9">
        <f t="shared" si="6"/>
        <v>1035</v>
      </c>
      <c r="M157" s="9">
        <f t="shared" si="7"/>
        <v>672.75</v>
      </c>
      <c r="N157" s="9">
        <f t="shared" si="8"/>
        <v>362.25</v>
      </c>
    </row>
    <row r="158" spans="1:14">
      <c r="A158" s="2" t="s">
        <v>331</v>
      </c>
      <c r="B158" s="3">
        <v>45408</v>
      </c>
      <c r="C158" s="2" t="s">
        <v>15</v>
      </c>
      <c r="D158" s="2" t="s">
        <v>16</v>
      </c>
      <c r="E158" s="2" t="s">
        <v>35</v>
      </c>
      <c r="F158" s="2" t="s">
        <v>36</v>
      </c>
      <c r="G158" s="2" t="s">
        <v>332</v>
      </c>
      <c r="H158" s="2" t="s">
        <v>20</v>
      </c>
      <c r="I158" s="4">
        <v>3</v>
      </c>
      <c r="J158" s="4">
        <v>250</v>
      </c>
      <c r="K158" s="4">
        <v>5</v>
      </c>
      <c r="L158" s="5">
        <f t="shared" si="6"/>
        <v>712.5</v>
      </c>
      <c r="M158" s="5">
        <f t="shared" si="7"/>
        <v>463.125</v>
      </c>
      <c r="N158" s="5">
        <f t="shared" si="8"/>
        <v>249.375</v>
      </c>
    </row>
    <row r="159" spans="1:14">
      <c r="A159" s="6" t="s">
        <v>333</v>
      </c>
      <c r="B159" s="7">
        <v>45408</v>
      </c>
      <c r="C159" s="6" t="s">
        <v>22</v>
      </c>
      <c r="D159" s="6" t="s">
        <v>23</v>
      </c>
      <c r="E159" s="6" t="s">
        <v>42</v>
      </c>
      <c r="F159" s="6" t="s">
        <v>47</v>
      </c>
      <c r="G159" s="6" t="s">
        <v>190</v>
      </c>
      <c r="H159" s="6" t="s">
        <v>52</v>
      </c>
      <c r="I159" s="8">
        <v>2</v>
      </c>
      <c r="J159" s="8">
        <v>1060</v>
      </c>
      <c r="K159" s="8">
        <v>15</v>
      </c>
      <c r="L159" s="9">
        <f t="shared" si="6"/>
        <v>1802</v>
      </c>
      <c r="M159" s="9">
        <f t="shared" si="7"/>
        <v>1171.3</v>
      </c>
      <c r="N159" s="9">
        <f t="shared" si="8"/>
        <v>630.70000000000005</v>
      </c>
    </row>
    <row r="160" spans="1:14">
      <c r="A160" s="2" t="s">
        <v>334</v>
      </c>
      <c r="B160" s="3">
        <v>45411</v>
      </c>
      <c r="C160" s="2" t="s">
        <v>15</v>
      </c>
      <c r="D160" s="2" t="s">
        <v>16</v>
      </c>
      <c r="E160" s="2" t="s">
        <v>35</v>
      </c>
      <c r="F160" s="2" t="s">
        <v>95</v>
      </c>
      <c r="G160" s="2" t="s">
        <v>291</v>
      </c>
      <c r="H160" s="2" t="s">
        <v>45</v>
      </c>
      <c r="I160" s="4">
        <v>1</v>
      </c>
      <c r="J160" s="4">
        <v>400</v>
      </c>
      <c r="K160" s="4">
        <v>10</v>
      </c>
      <c r="L160" s="5">
        <f t="shared" si="6"/>
        <v>360</v>
      </c>
      <c r="M160" s="5">
        <f t="shared" si="7"/>
        <v>234</v>
      </c>
      <c r="N160" s="5">
        <f t="shared" si="8"/>
        <v>126</v>
      </c>
    </row>
    <row r="161" spans="1:14">
      <c r="A161" s="6" t="s">
        <v>335</v>
      </c>
      <c r="B161" s="7">
        <v>45412</v>
      </c>
      <c r="C161" s="6" t="s">
        <v>28</v>
      </c>
      <c r="D161" s="6" t="s">
        <v>29</v>
      </c>
      <c r="E161" s="6" t="s">
        <v>42</v>
      </c>
      <c r="F161" s="6" t="s">
        <v>217</v>
      </c>
      <c r="G161" s="6" t="s">
        <v>311</v>
      </c>
      <c r="H161" s="6" t="s">
        <v>52</v>
      </c>
      <c r="I161" s="8">
        <v>3</v>
      </c>
      <c r="J161" s="8">
        <v>610</v>
      </c>
      <c r="K161" s="8">
        <v>20</v>
      </c>
      <c r="L161" s="9">
        <f t="shared" si="6"/>
        <v>1464</v>
      </c>
      <c r="M161" s="9">
        <f t="shared" si="7"/>
        <v>951.6</v>
      </c>
      <c r="N161" s="9">
        <f t="shared" si="8"/>
        <v>512.4</v>
      </c>
    </row>
    <row r="162" spans="1:14">
      <c r="A162" s="2" t="s">
        <v>336</v>
      </c>
      <c r="B162" s="3">
        <v>45413</v>
      </c>
      <c r="C162" s="2" t="s">
        <v>33</v>
      </c>
      <c r="D162" s="2" t="s">
        <v>34</v>
      </c>
      <c r="E162" s="2" t="s">
        <v>17</v>
      </c>
      <c r="F162" s="2" t="s">
        <v>102</v>
      </c>
      <c r="G162" s="2" t="s">
        <v>146</v>
      </c>
      <c r="H162" s="2" t="s">
        <v>20</v>
      </c>
      <c r="I162" s="4">
        <v>3</v>
      </c>
      <c r="J162" s="4">
        <v>220</v>
      </c>
      <c r="K162" s="4">
        <v>10</v>
      </c>
      <c r="L162" s="5">
        <f t="shared" si="6"/>
        <v>594</v>
      </c>
      <c r="M162" s="5">
        <f t="shared" si="7"/>
        <v>386.1</v>
      </c>
      <c r="N162" s="5">
        <f t="shared" si="8"/>
        <v>207.89999999999998</v>
      </c>
    </row>
    <row r="163" spans="1:14">
      <c r="A163" s="6" t="s">
        <v>337</v>
      </c>
      <c r="B163" s="7">
        <v>45414</v>
      </c>
      <c r="C163" s="6" t="s">
        <v>15</v>
      </c>
      <c r="D163" s="6" t="s">
        <v>16</v>
      </c>
      <c r="E163" s="6" t="s">
        <v>24</v>
      </c>
      <c r="F163" s="6" t="s">
        <v>66</v>
      </c>
      <c r="G163" s="6" t="s">
        <v>338</v>
      </c>
      <c r="H163" s="6" t="s">
        <v>52</v>
      </c>
      <c r="I163" s="8">
        <v>5</v>
      </c>
      <c r="J163" s="8">
        <v>640</v>
      </c>
      <c r="K163" s="8">
        <v>20</v>
      </c>
      <c r="L163" s="9">
        <f t="shared" si="6"/>
        <v>2560</v>
      </c>
      <c r="M163" s="9">
        <f t="shared" si="7"/>
        <v>1664</v>
      </c>
      <c r="N163" s="9">
        <f t="shared" si="8"/>
        <v>896</v>
      </c>
    </row>
    <row r="164" spans="1:14">
      <c r="A164" s="2" t="s">
        <v>339</v>
      </c>
      <c r="B164" s="3">
        <v>45415</v>
      </c>
      <c r="C164" s="2" t="s">
        <v>28</v>
      </c>
      <c r="D164" s="2" t="s">
        <v>29</v>
      </c>
      <c r="E164" s="2" t="s">
        <v>24</v>
      </c>
      <c r="F164" s="2" t="s">
        <v>39</v>
      </c>
      <c r="G164" s="2" t="s">
        <v>225</v>
      </c>
      <c r="H164" s="2" t="s">
        <v>20</v>
      </c>
      <c r="I164" s="4">
        <v>2</v>
      </c>
      <c r="J164" s="4">
        <v>1190</v>
      </c>
      <c r="K164" s="4">
        <v>10</v>
      </c>
      <c r="L164" s="5">
        <f t="shared" si="6"/>
        <v>2142</v>
      </c>
      <c r="M164" s="5">
        <f t="shared" si="7"/>
        <v>1392.3</v>
      </c>
      <c r="N164" s="5">
        <f t="shared" si="8"/>
        <v>749.7</v>
      </c>
    </row>
    <row r="165" spans="1:14">
      <c r="A165" s="6" t="s">
        <v>340</v>
      </c>
      <c r="B165" s="7">
        <v>45415</v>
      </c>
      <c r="C165" s="6" t="s">
        <v>107</v>
      </c>
      <c r="D165" s="6" t="s">
        <v>108</v>
      </c>
      <c r="E165" s="6" t="s">
        <v>17</v>
      </c>
      <c r="F165" s="6" t="s">
        <v>80</v>
      </c>
      <c r="G165" s="6" t="s">
        <v>277</v>
      </c>
      <c r="H165" s="6" t="s">
        <v>20</v>
      </c>
      <c r="I165" s="8">
        <v>5</v>
      </c>
      <c r="J165" s="8">
        <v>140</v>
      </c>
      <c r="K165" s="8">
        <v>15</v>
      </c>
      <c r="L165" s="9">
        <f t="shared" si="6"/>
        <v>595</v>
      </c>
      <c r="M165" s="9">
        <f t="shared" si="7"/>
        <v>386.75</v>
      </c>
      <c r="N165" s="9">
        <f t="shared" si="8"/>
        <v>208.25</v>
      </c>
    </row>
    <row r="166" spans="1:14">
      <c r="A166" s="2" t="s">
        <v>341</v>
      </c>
      <c r="B166" s="3">
        <v>45417</v>
      </c>
      <c r="C166" s="2" t="s">
        <v>33</v>
      </c>
      <c r="D166" s="2" t="s">
        <v>34</v>
      </c>
      <c r="E166" s="2" t="s">
        <v>17</v>
      </c>
      <c r="F166" s="2" t="s">
        <v>80</v>
      </c>
      <c r="G166" s="2" t="s">
        <v>19</v>
      </c>
      <c r="H166" s="2" t="s">
        <v>20</v>
      </c>
      <c r="I166" s="4">
        <v>2</v>
      </c>
      <c r="J166" s="4">
        <v>130</v>
      </c>
      <c r="K166" s="4">
        <v>15</v>
      </c>
      <c r="L166" s="5">
        <f t="shared" si="6"/>
        <v>221</v>
      </c>
      <c r="M166" s="5">
        <f t="shared" si="7"/>
        <v>143.65</v>
      </c>
      <c r="N166" s="5">
        <f t="shared" si="8"/>
        <v>77.349999999999994</v>
      </c>
    </row>
    <row r="167" spans="1:14">
      <c r="A167" s="6" t="s">
        <v>342</v>
      </c>
      <c r="B167" s="7">
        <v>45417</v>
      </c>
      <c r="C167" s="6" t="s">
        <v>22</v>
      </c>
      <c r="D167" s="6" t="s">
        <v>23</v>
      </c>
      <c r="E167" s="6" t="s">
        <v>35</v>
      </c>
      <c r="F167" s="6" t="s">
        <v>36</v>
      </c>
      <c r="G167" s="6" t="s">
        <v>343</v>
      </c>
      <c r="H167" s="6" t="s">
        <v>20</v>
      </c>
      <c r="I167" s="8">
        <v>1</v>
      </c>
      <c r="J167" s="8">
        <v>230</v>
      </c>
      <c r="K167" s="8">
        <v>15</v>
      </c>
      <c r="L167" s="9">
        <f t="shared" si="6"/>
        <v>195.5</v>
      </c>
      <c r="M167" s="9">
        <f t="shared" si="7"/>
        <v>127.075</v>
      </c>
      <c r="N167" s="9">
        <f t="shared" si="8"/>
        <v>68.424999999999997</v>
      </c>
    </row>
    <row r="168" spans="1:14">
      <c r="A168" s="2" t="s">
        <v>344</v>
      </c>
      <c r="B168" s="3">
        <v>45417</v>
      </c>
      <c r="C168" s="2" t="s">
        <v>28</v>
      </c>
      <c r="D168" s="2" t="s">
        <v>29</v>
      </c>
      <c r="E168" s="2" t="s">
        <v>17</v>
      </c>
      <c r="F168" s="2" t="s">
        <v>18</v>
      </c>
      <c r="G168" s="2" t="s">
        <v>314</v>
      </c>
      <c r="H168" s="2" t="s">
        <v>45</v>
      </c>
      <c r="I168" s="4">
        <v>2</v>
      </c>
      <c r="J168" s="4">
        <v>270</v>
      </c>
      <c r="K168" s="4">
        <v>5</v>
      </c>
      <c r="L168" s="5">
        <f t="shared" si="6"/>
        <v>513</v>
      </c>
      <c r="M168" s="5">
        <f t="shared" si="7"/>
        <v>333.45</v>
      </c>
      <c r="N168" s="5">
        <f t="shared" si="8"/>
        <v>179.55</v>
      </c>
    </row>
    <row r="169" spans="1:14">
      <c r="A169" s="6" t="s">
        <v>345</v>
      </c>
      <c r="B169" s="7">
        <v>45418</v>
      </c>
      <c r="C169" s="6" t="s">
        <v>22</v>
      </c>
      <c r="D169" s="6" t="s">
        <v>23</v>
      </c>
      <c r="E169" s="6" t="s">
        <v>42</v>
      </c>
      <c r="F169" s="6" t="s">
        <v>43</v>
      </c>
      <c r="G169" s="6" t="s">
        <v>346</v>
      </c>
      <c r="H169" s="6" t="s">
        <v>20</v>
      </c>
      <c r="I169" s="8">
        <v>1</v>
      </c>
      <c r="J169" s="8">
        <v>3440</v>
      </c>
      <c r="K169" s="8">
        <v>10</v>
      </c>
      <c r="L169" s="9">
        <f t="shared" si="6"/>
        <v>3096</v>
      </c>
      <c r="M169" s="9">
        <f t="shared" si="7"/>
        <v>2012.4</v>
      </c>
      <c r="N169" s="9">
        <f t="shared" si="8"/>
        <v>1083.5999999999999</v>
      </c>
    </row>
    <row r="170" spans="1:14">
      <c r="A170" s="2" t="s">
        <v>347</v>
      </c>
      <c r="B170" s="3">
        <v>45418</v>
      </c>
      <c r="C170" s="2" t="s">
        <v>28</v>
      </c>
      <c r="D170" s="2" t="s">
        <v>29</v>
      </c>
      <c r="E170" s="2" t="s">
        <v>17</v>
      </c>
      <c r="F170" s="2" t="s">
        <v>80</v>
      </c>
      <c r="G170" s="2" t="s">
        <v>51</v>
      </c>
      <c r="H170" s="2" t="s">
        <v>52</v>
      </c>
      <c r="I170" s="4">
        <v>1</v>
      </c>
      <c r="J170" s="4">
        <v>120</v>
      </c>
      <c r="K170" s="4">
        <v>20</v>
      </c>
      <c r="L170" s="5">
        <f t="shared" si="6"/>
        <v>96</v>
      </c>
      <c r="M170" s="5">
        <f t="shared" si="7"/>
        <v>62.400000000000006</v>
      </c>
      <c r="N170" s="5">
        <f t="shared" si="8"/>
        <v>33.599999999999994</v>
      </c>
    </row>
    <row r="171" spans="1:14">
      <c r="A171" s="6" t="s">
        <v>348</v>
      </c>
      <c r="B171" s="7">
        <v>45419</v>
      </c>
      <c r="C171" s="6" t="s">
        <v>33</v>
      </c>
      <c r="D171" s="6" t="s">
        <v>34</v>
      </c>
      <c r="E171" s="6" t="s">
        <v>24</v>
      </c>
      <c r="F171" s="6" t="s">
        <v>125</v>
      </c>
      <c r="G171" s="6" t="s">
        <v>150</v>
      </c>
      <c r="H171" s="6" t="s">
        <v>20</v>
      </c>
      <c r="I171" s="8">
        <v>1</v>
      </c>
      <c r="J171" s="8">
        <v>510</v>
      </c>
      <c r="K171" s="8">
        <v>10</v>
      </c>
      <c r="L171" s="9">
        <f t="shared" si="6"/>
        <v>459</v>
      </c>
      <c r="M171" s="9">
        <f t="shared" si="7"/>
        <v>298.35000000000002</v>
      </c>
      <c r="N171" s="9">
        <f t="shared" si="8"/>
        <v>160.64999999999998</v>
      </c>
    </row>
    <row r="172" spans="1:14">
      <c r="A172" s="2" t="s">
        <v>349</v>
      </c>
      <c r="B172" s="3">
        <v>45419</v>
      </c>
      <c r="C172" s="2" t="s">
        <v>107</v>
      </c>
      <c r="D172" s="2" t="s">
        <v>108</v>
      </c>
      <c r="E172" s="2" t="s">
        <v>17</v>
      </c>
      <c r="F172" s="2" t="s">
        <v>30</v>
      </c>
      <c r="G172" s="2" t="s">
        <v>350</v>
      </c>
      <c r="H172" s="2" t="s">
        <v>20</v>
      </c>
      <c r="I172" s="4">
        <v>1</v>
      </c>
      <c r="J172" s="4">
        <v>260</v>
      </c>
      <c r="K172" s="4">
        <v>15</v>
      </c>
      <c r="L172" s="5">
        <f t="shared" si="6"/>
        <v>221</v>
      </c>
      <c r="M172" s="5">
        <f t="shared" si="7"/>
        <v>143.65</v>
      </c>
      <c r="N172" s="5">
        <f t="shared" si="8"/>
        <v>77.349999999999994</v>
      </c>
    </row>
    <row r="173" spans="1:14">
      <c r="A173" s="6" t="s">
        <v>351</v>
      </c>
      <c r="B173" s="7">
        <v>45419</v>
      </c>
      <c r="C173" s="6" t="s">
        <v>28</v>
      </c>
      <c r="D173" s="6" t="s">
        <v>29</v>
      </c>
      <c r="E173" s="6" t="s">
        <v>17</v>
      </c>
      <c r="F173" s="6" t="s">
        <v>206</v>
      </c>
      <c r="G173" s="6" t="s">
        <v>158</v>
      </c>
      <c r="H173" s="6" t="s">
        <v>52</v>
      </c>
      <c r="I173" s="8">
        <v>2</v>
      </c>
      <c r="J173" s="8">
        <v>90</v>
      </c>
      <c r="K173" s="8">
        <v>10</v>
      </c>
      <c r="L173" s="9">
        <f t="shared" si="6"/>
        <v>162</v>
      </c>
      <c r="M173" s="9">
        <f t="shared" si="7"/>
        <v>105.3</v>
      </c>
      <c r="N173" s="9">
        <f t="shared" si="8"/>
        <v>56.7</v>
      </c>
    </row>
    <row r="174" spans="1:14">
      <c r="A174" s="2" t="s">
        <v>352</v>
      </c>
      <c r="B174" s="3">
        <v>45420</v>
      </c>
      <c r="C174" s="2" t="s">
        <v>15</v>
      </c>
      <c r="D174" s="2" t="s">
        <v>16</v>
      </c>
      <c r="E174" s="2" t="s">
        <v>42</v>
      </c>
      <c r="F174" s="2" t="s">
        <v>113</v>
      </c>
      <c r="G174" s="2" t="s">
        <v>246</v>
      </c>
      <c r="H174" s="2" t="s">
        <v>20</v>
      </c>
      <c r="I174" s="4">
        <v>1</v>
      </c>
      <c r="J174" s="4">
        <v>870</v>
      </c>
      <c r="K174" s="4">
        <v>15</v>
      </c>
      <c r="L174" s="5">
        <f t="shared" si="6"/>
        <v>739.5</v>
      </c>
      <c r="M174" s="5">
        <f t="shared" si="7"/>
        <v>480.67500000000001</v>
      </c>
      <c r="N174" s="5">
        <f t="shared" si="8"/>
        <v>258.82499999999999</v>
      </c>
    </row>
    <row r="175" spans="1:14">
      <c r="A175" s="6" t="s">
        <v>353</v>
      </c>
      <c r="B175" s="7">
        <v>45421</v>
      </c>
      <c r="C175" s="6" t="s">
        <v>15</v>
      </c>
      <c r="D175" s="6" t="s">
        <v>16</v>
      </c>
      <c r="E175" s="6" t="s">
        <v>35</v>
      </c>
      <c r="F175" s="6" t="s">
        <v>60</v>
      </c>
      <c r="G175" s="6" t="s">
        <v>141</v>
      </c>
      <c r="H175" s="6" t="s">
        <v>52</v>
      </c>
      <c r="I175" s="8">
        <v>1</v>
      </c>
      <c r="J175" s="8">
        <v>730</v>
      </c>
      <c r="K175" s="8">
        <v>20</v>
      </c>
      <c r="L175" s="9">
        <f t="shared" si="6"/>
        <v>584</v>
      </c>
      <c r="M175" s="9">
        <f t="shared" si="7"/>
        <v>379.6</v>
      </c>
      <c r="N175" s="9">
        <f t="shared" si="8"/>
        <v>204.39999999999998</v>
      </c>
    </row>
    <row r="176" spans="1:14">
      <c r="A176" s="2" t="s">
        <v>354</v>
      </c>
      <c r="B176" s="3">
        <v>45422</v>
      </c>
      <c r="C176" s="2" t="s">
        <v>22</v>
      </c>
      <c r="D176" s="2" t="s">
        <v>23</v>
      </c>
      <c r="E176" s="2" t="s">
        <v>42</v>
      </c>
      <c r="F176" s="2" t="s">
        <v>121</v>
      </c>
      <c r="G176" s="2" t="s">
        <v>355</v>
      </c>
      <c r="H176" s="2" t="s">
        <v>52</v>
      </c>
      <c r="I176" s="4">
        <v>1</v>
      </c>
      <c r="J176" s="4">
        <v>1960</v>
      </c>
      <c r="K176" s="4">
        <v>10</v>
      </c>
      <c r="L176" s="5">
        <f t="shared" si="6"/>
        <v>1764</v>
      </c>
      <c r="M176" s="5">
        <f t="shared" si="7"/>
        <v>1146.6000000000001</v>
      </c>
      <c r="N176" s="5">
        <f t="shared" si="8"/>
        <v>617.39999999999986</v>
      </c>
    </row>
    <row r="177" spans="1:14">
      <c r="A177" s="6" t="s">
        <v>356</v>
      </c>
      <c r="B177" s="7">
        <v>45423</v>
      </c>
      <c r="C177" s="6" t="s">
        <v>107</v>
      </c>
      <c r="D177" s="6" t="s">
        <v>108</v>
      </c>
      <c r="E177" s="6" t="s">
        <v>24</v>
      </c>
      <c r="F177" s="6" t="s">
        <v>71</v>
      </c>
      <c r="G177" s="6" t="s">
        <v>355</v>
      </c>
      <c r="H177" s="6" t="s">
        <v>45</v>
      </c>
      <c r="I177" s="8">
        <v>5</v>
      </c>
      <c r="J177" s="8">
        <v>950</v>
      </c>
      <c r="K177" s="8">
        <v>10</v>
      </c>
      <c r="L177" s="9">
        <f t="shared" si="6"/>
        <v>4275</v>
      </c>
      <c r="M177" s="9">
        <f t="shared" si="7"/>
        <v>2778.75</v>
      </c>
      <c r="N177" s="9">
        <f t="shared" si="8"/>
        <v>1496.25</v>
      </c>
    </row>
    <row r="178" spans="1:14">
      <c r="A178" s="2" t="s">
        <v>357</v>
      </c>
      <c r="B178" s="3">
        <v>45424</v>
      </c>
      <c r="C178" s="2" t="s">
        <v>22</v>
      </c>
      <c r="D178" s="2" t="s">
        <v>23</v>
      </c>
      <c r="E178" s="2" t="s">
        <v>24</v>
      </c>
      <c r="F178" s="2" t="s">
        <v>54</v>
      </c>
      <c r="G178" s="2" t="s">
        <v>86</v>
      </c>
      <c r="H178" s="2" t="s">
        <v>20</v>
      </c>
      <c r="I178" s="4">
        <v>3</v>
      </c>
      <c r="J178" s="4">
        <v>360</v>
      </c>
      <c r="K178" s="4">
        <v>10</v>
      </c>
      <c r="L178" s="5">
        <f t="shared" si="6"/>
        <v>972</v>
      </c>
      <c r="M178" s="5">
        <f t="shared" si="7"/>
        <v>631.80000000000007</v>
      </c>
      <c r="N178" s="5">
        <f t="shared" si="8"/>
        <v>340.19999999999993</v>
      </c>
    </row>
    <row r="179" spans="1:14">
      <c r="A179" s="6" t="s">
        <v>358</v>
      </c>
      <c r="B179" s="7">
        <v>45426</v>
      </c>
      <c r="C179" s="6" t="s">
        <v>22</v>
      </c>
      <c r="D179" s="6" t="s">
        <v>23</v>
      </c>
      <c r="E179" s="6" t="s">
        <v>24</v>
      </c>
      <c r="F179" s="6" t="s">
        <v>66</v>
      </c>
      <c r="G179" s="6" t="s">
        <v>359</v>
      </c>
      <c r="H179" s="6" t="s">
        <v>52</v>
      </c>
      <c r="I179" s="8">
        <v>2</v>
      </c>
      <c r="J179" s="8">
        <v>750</v>
      </c>
      <c r="K179" s="8">
        <v>10</v>
      </c>
      <c r="L179" s="9">
        <f t="shared" si="6"/>
        <v>1350</v>
      </c>
      <c r="M179" s="9">
        <f t="shared" si="7"/>
        <v>877.5</v>
      </c>
      <c r="N179" s="9">
        <f t="shared" si="8"/>
        <v>472.5</v>
      </c>
    </row>
    <row r="180" spans="1:14">
      <c r="A180" s="2" t="s">
        <v>360</v>
      </c>
      <c r="B180" s="3">
        <v>45426</v>
      </c>
      <c r="C180" s="2" t="s">
        <v>107</v>
      </c>
      <c r="D180" s="2" t="s">
        <v>108</v>
      </c>
      <c r="E180" s="2" t="s">
        <v>42</v>
      </c>
      <c r="F180" s="2" t="s">
        <v>121</v>
      </c>
      <c r="G180" s="2" t="s">
        <v>137</v>
      </c>
      <c r="H180" s="2" t="s">
        <v>20</v>
      </c>
      <c r="I180" s="4">
        <v>2</v>
      </c>
      <c r="J180" s="4">
        <v>2070</v>
      </c>
      <c r="K180" s="4">
        <v>15</v>
      </c>
      <c r="L180" s="5">
        <f t="shared" si="6"/>
        <v>3519</v>
      </c>
      <c r="M180" s="5">
        <f t="shared" si="7"/>
        <v>2287.35</v>
      </c>
      <c r="N180" s="5">
        <f t="shared" si="8"/>
        <v>1231.6500000000001</v>
      </c>
    </row>
    <row r="181" spans="1:14">
      <c r="A181" s="6" t="s">
        <v>361</v>
      </c>
      <c r="B181" s="7">
        <v>45427</v>
      </c>
      <c r="C181" s="6" t="s">
        <v>107</v>
      </c>
      <c r="D181" s="6" t="s">
        <v>108</v>
      </c>
      <c r="E181" s="6" t="s">
        <v>24</v>
      </c>
      <c r="F181" s="6" t="s">
        <v>83</v>
      </c>
      <c r="G181" s="6" t="s">
        <v>213</v>
      </c>
      <c r="H181" s="6" t="s">
        <v>52</v>
      </c>
      <c r="I181" s="8">
        <v>1</v>
      </c>
      <c r="J181" s="8">
        <v>630</v>
      </c>
      <c r="K181" s="8">
        <v>10</v>
      </c>
      <c r="L181" s="9">
        <f t="shared" si="6"/>
        <v>567</v>
      </c>
      <c r="M181" s="9">
        <f t="shared" si="7"/>
        <v>368.55</v>
      </c>
      <c r="N181" s="9">
        <f t="shared" si="8"/>
        <v>198.45</v>
      </c>
    </row>
    <row r="182" spans="1:14">
      <c r="A182" s="2" t="s">
        <v>362</v>
      </c>
      <c r="B182" s="3">
        <v>45428</v>
      </c>
      <c r="C182" s="2" t="s">
        <v>15</v>
      </c>
      <c r="D182" s="2" t="s">
        <v>16</v>
      </c>
      <c r="E182" s="2" t="s">
        <v>24</v>
      </c>
      <c r="F182" s="2" t="s">
        <v>39</v>
      </c>
      <c r="G182" s="2" t="s">
        <v>320</v>
      </c>
      <c r="H182" s="2" t="s">
        <v>45</v>
      </c>
      <c r="I182" s="4">
        <v>4</v>
      </c>
      <c r="J182" s="4">
        <v>1120</v>
      </c>
      <c r="K182" s="4">
        <v>10</v>
      </c>
      <c r="L182" s="5">
        <f t="shared" si="6"/>
        <v>4032</v>
      </c>
      <c r="M182" s="5">
        <f t="shared" si="7"/>
        <v>2620.8000000000002</v>
      </c>
      <c r="N182" s="5">
        <f t="shared" si="8"/>
        <v>1411.1999999999998</v>
      </c>
    </row>
    <row r="183" spans="1:14">
      <c r="A183" s="6" t="s">
        <v>363</v>
      </c>
      <c r="B183" s="7">
        <v>45429</v>
      </c>
      <c r="C183" s="6" t="s">
        <v>22</v>
      </c>
      <c r="D183" s="6" t="s">
        <v>23</v>
      </c>
      <c r="E183" s="6" t="s">
        <v>42</v>
      </c>
      <c r="F183" s="6" t="s">
        <v>74</v>
      </c>
      <c r="G183" s="6" t="s">
        <v>67</v>
      </c>
      <c r="H183" s="6" t="s">
        <v>20</v>
      </c>
      <c r="I183" s="8">
        <v>1</v>
      </c>
      <c r="J183" s="8">
        <v>1290</v>
      </c>
      <c r="K183" s="8">
        <v>15</v>
      </c>
      <c r="L183" s="9">
        <f t="shared" si="6"/>
        <v>1096.5</v>
      </c>
      <c r="M183" s="9">
        <f t="shared" si="7"/>
        <v>712.72500000000002</v>
      </c>
      <c r="N183" s="9">
        <f t="shared" si="8"/>
        <v>383.77499999999998</v>
      </c>
    </row>
    <row r="184" spans="1:14">
      <c r="A184" s="2" t="s">
        <v>364</v>
      </c>
      <c r="B184" s="3">
        <v>45429</v>
      </c>
      <c r="C184" s="2" t="s">
        <v>107</v>
      </c>
      <c r="D184" s="2" t="s">
        <v>108</v>
      </c>
      <c r="E184" s="2" t="s">
        <v>35</v>
      </c>
      <c r="F184" s="2" t="s">
        <v>36</v>
      </c>
      <c r="G184" s="2" t="s">
        <v>311</v>
      </c>
      <c r="H184" s="2" t="s">
        <v>20</v>
      </c>
      <c r="I184" s="4">
        <v>1</v>
      </c>
      <c r="J184" s="4">
        <v>260</v>
      </c>
      <c r="K184" s="4">
        <v>10</v>
      </c>
      <c r="L184" s="5">
        <f t="shared" si="6"/>
        <v>234</v>
      </c>
      <c r="M184" s="5">
        <f t="shared" si="7"/>
        <v>152.1</v>
      </c>
      <c r="N184" s="5">
        <f t="shared" si="8"/>
        <v>81.900000000000006</v>
      </c>
    </row>
    <row r="185" spans="1:14">
      <c r="A185" s="6" t="s">
        <v>365</v>
      </c>
      <c r="B185" s="7">
        <v>45429</v>
      </c>
      <c r="C185" s="6" t="s">
        <v>28</v>
      </c>
      <c r="D185" s="6" t="s">
        <v>29</v>
      </c>
      <c r="E185" s="6" t="s">
        <v>35</v>
      </c>
      <c r="F185" s="6" t="s">
        <v>57</v>
      </c>
      <c r="G185" s="6" t="s">
        <v>366</v>
      </c>
      <c r="H185" s="6" t="s">
        <v>45</v>
      </c>
      <c r="I185" s="8">
        <v>2</v>
      </c>
      <c r="J185" s="8">
        <v>820</v>
      </c>
      <c r="K185" s="8">
        <v>5</v>
      </c>
      <c r="L185" s="9">
        <f t="shared" si="6"/>
        <v>1558</v>
      </c>
      <c r="M185" s="9">
        <f t="shared" si="7"/>
        <v>1012.7</v>
      </c>
      <c r="N185" s="9">
        <f t="shared" si="8"/>
        <v>545.29999999999995</v>
      </c>
    </row>
    <row r="186" spans="1:14">
      <c r="A186" s="2" t="s">
        <v>367</v>
      </c>
      <c r="B186" s="3">
        <v>45429</v>
      </c>
      <c r="C186" s="2" t="s">
        <v>33</v>
      </c>
      <c r="D186" s="2" t="s">
        <v>34</v>
      </c>
      <c r="E186" s="2" t="s">
        <v>42</v>
      </c>
      <c r="F186" s="2" t="s">
        <v>217</v>
      </c>
      <c r="G186" s="2" t="s">
        <v>368</v>
      </c>
      <c r="H186" s="2" t="s">
        <v>20</v>
      </c>
      <c r="I186" s="4">
        <v>3</v>
      </c>
      <c r="J186" s="4">
        <v>690</v>
      </c>
      <c r="K186" s="4">
        <v>15</v>
      </c>
      <c r="L186" s="5">
        <f t="shared" si="6"/>
        <v>1759.5</v>
      </c>
      <c r="M186" s="5">
        <f t="shared" si="7"/>
        <v>1143.675</v>
      </c>
      <c r="N186" s="5">
        <f t="shared" si="8"/>
        <v>615.82500000000005</v>
      </c>
    </row>
    <row r="187" spans="1:14">
      <c r="A187" s="6" t="s">
        <v>369</v>
      </c>
      <c r="B187" s="7">
        <v>45430</v>
      </c>
      <c r="C187" s="6" t="s">
        <v>22</v>
      </c>
      <c r="D187" s="6" t="s">
        <v>23</v>
      </c>
      <c r="E187" s="6" t="s">
        <v>17</v>
      </c>
      <c r="F187" s="6" t="s">
        <v>80</v>
      </c>
      <c r="G187" s="6" t="s">
        <v>215</v>
      </c>
      <c r="H187" s="6" t="s">
        <v>20</v>
      </c>
      <c r="I187" s="8">
        <v>1</v>
      </c>
      <c r="J187" s="8">
        <v>120</v>
      </c>
      <c r="K187" s="8">
        <v>15</v>
      </c>
      <c r="L187" s="9">
        <f t="shared" si="6"/>
        <v>102</v>
      </c>
      <c r="M187" s="9">
        <f t="shared" si="7"/>
        <v>66.3</v>
      </c>
      <c r="N187" s="9">
        <f t="shared" si="8"/>
        <v>35.700000000000003</v>
      </c>
    </row>
    <row r="188" spans="1:14">
      <c r="A188" s="2" t="s">
        <v>370</v>
      </c>
      <c r="B188" s="3">
        <v>45431</v>
      </c>
      <c r="C188" s="2" t="s">
        <v>22</v>
      </c>
      <c r="D188" s="2" t="s">
        <v>23</v>
      </c>
      <c r="E188" s="2" t="s">
        <v>42</v>
      </c>
      <c r="F188" s="2" t="s">
        <v>199</v>
      </c>
      <c r="G188" s="2" t="s">
        <v>246</v>
      </c>
      <c r="H188" s="2" t="s">
        <v>20</v>
      </c>
      <c r="I188" s="4">
        <v>2</v>
      </c>
      <c r="J188" s="4">
        <v>360</v>
      </c>
      <c r="K188" s="4">
        <v>15</v>
      </c>
      <c r="L188" s="5">
        <f t="shared" si="6"/>
        <v>612</v>
      </c>
      <c r="M188" s="5">
        <f t="shared" si="7"/>
        <v>397.8</v>
      </c>
      <c r="N188" s="5">
        <f t="shared" si="8"/>
        <v>214.2</v>
      </c>
    </row>
    <row r="189" spans="1:14">
      <c r="A189" s="6" t="s">
        <v>371</v>
      </c>
      <c r="B189" s="7">
        <v>45432</v>
      </c>
      <c r="C189" s="6" t="s">
        <v>22</v>
      </c>
      <c r="D189" s="6" t="s">
        <v>23</v>
      </c>
      <c r="E189" s="6" t="s">
        <v>17</v>
      </c>
      <c r="F189" s="6" t="s">
        <v>206</v>
      </c>
      <c r="G189" s="6" t="s">
        <v>372</v>
      </c>
      <c r="H189" s="6" t="s">
        <v>45</v>
      </c>
      <c r="I189" s="8">
        <v>2</v>
      </c>
      <c r="J189" s="8">
        <v>110</v>
      </c>
      <c r="K189" s="8">
        <v>5</v>
      </c>
      <c r="L189" s="9">
        <f t="shared" si="6"/>
        <v>209</v>
      </c>
      <c r="M189" s="9">
        <f t="shared" si="7"/>
        <v>135.85</v>
      </c>
      <c r="N189" s="9">
        <f t="shared" si="8"/>
        <v>73.150000000000006</v>
      </c>
    </row>
    <row r="190" spans="1:14">
      <c r="A190" s="2" t="s">
        <v>373</v>
      </c>
      <c r="B190" s="3">
        <v>45432</v>
      </c>
      <c r="C190" s="2" t="s">
        <v>15</v>
      </c>
      <c r="D190" s="2" t="s">
        <v>16</v>
      </c>
      <c r="E190" s="2" t="s">
        <v>42</v>
      </c>
      <c r="F190" s="2" t="s">
        <v>47</v>
      </c>
      <c r="G190" s="2" t="s">
        <v>323</v>
      </c>
      <c r="H190" s="2" t="s">
        <v>20</v>
      </c>
      <c r="I190" s="4">
        <v>5</v>
      </c>
      <c r="J190" s="4">
        <v>970</v>
      </c>
      <c r="K190" s="4">
        <v>5</v>
      </c>
      <c r="L190" s="5">
        <f t="shared" si="6"/>
        <v>4607.5</v>
      </c>
      <c r="M190" s="5">
        <f t="shared" si="7"/>
        <v>2994.875</v>
      </c>
      <c r="N190" s="5">
        <f t="shared" si="8"/>
        <v>1612.625</v>
      </c>
    </row>
    <row r="191" spans="1:14">
      <c r="A191" s="6" t="s">
        <v>374</v>
      </c>
      <c r="B191" s="7">
        <v>45432</v>
      </c>
      <c r="C191" s="6" t="s">
        <v>22</v>
      </c>
      <c r="D191" s="6" t="s">
        <v>23</v>
      </c>
      <c r="E191" s="6" t="s">
        <v>17</v>
      </c>
      <c r="F191" s="6" t="s">
        <v>267</v>
      </c>
      <c r="G191" s="6" t="s">
        <v>144</v>
      </c>
      <c r="H191" s="6" t="s">
        <v>20</v>
      </c>
      <c r="I191" s="8">
        <v>3</v>
      </c>
      <c r="J191" s="8">
        <v>350</v>
      </c>
      <c r="K191" s="8">
        <v>5</v>
      </c>
      <c r="L191" s="9">
        <f t="shared" si="6"/>
        <v>997.5</v>
      </c>
      <c r="M191" s="9">
        <f t="shared" si="7"/>
        <v>648.375</v>
      </c>
      <c r="N191" s="9">
        <f t="shared" si="8"/>
        <v>349.125</v>
      </c>
    </row>
    <row r="192" spans="1:14">
      <c r="A192" s="2" t="s">
        <v>375</v>
      </c>
      <c r="B192" s="3">
        <v>45433</v>
      </c>
      <c r="C192" s="2" t="s">
        <v>22</v>
      </c>
      <c r="D192" s="2" t="s">
        <v>23</v>
      </c>
      <c r="E192" s="2" t="s">
        <v>42</v>
      </c>
      <c r="F192" s="2" t="s">
        <v>113</v>
      </c>
      <c r="G192" s="2" t="s">
        <v>332</v>
      </c>
      <c r="H192" s="2" t="s">
        <v>20</v>
      </c>
      <c r="I192" s="4">
        <v>2</v>
      </c>
      <c r="J192" s="4">
        <v>730</v>
      </c>
      <c r="K192" s="4">
        <v>5</v>
      </c>
      <c r="L192" s="5">
        <f t="shared" si="6"/>
        <v>1387</v>
      </c>
      <c r="M192" s="5">
        <f t="shared" si="7"/>
        <v>901.55000000000007</v>
      </c>
      <c r="N192" s="5">
        <f t="shared" si="8"/>
        <v>485.44999999999993</v>
      </c>
    </row>
    <row r="193" spans="1:14">
      <c r="A193" s="6" t="s">
        <v>376</v>
      </c>
      <c r="B193" s="7">
        <v>45433</v>
      </c>
      <c r="C193" s="6" t="s">
        <v>28</v>
      </c>
      <c r="D193" s="6" t="s">
        <v>29</v>
      </c>
      <c r="E193" s="6" t="s">
        <v>17</v>
      </c>
      <c r="F193" s="6" t="s">
        <v>224</v>
      </c>
      <c r="G193" s="6" t="s">
        <v>377</v>
      </c>
      <c r="H193" s="6" t="s">
        <v>20</v>
      </c>
      <c r="I193" s="8">
        <v>3</v>
      </c>
      <c r="J193" s="8">
        <v>90</v>
      </c>
      <c r="K193" s="8">
        <v>15</v>
      </c>
      <c r="L193" s="9">
        <f t="shared" si="6"/>
        <v>229.5</v>
      </c>
      <c r="M193" s="9">
        <f t="shared" si="7"/>
        <v>149.17500000000001</v>
      </c>
      <c r="N193" s="9">
        <f t="shared" si="8"/>
        <v>80.324999999999989</v>
      </c>
    </row>
    <row r="194" spans="1:14">
      <c r="A194" s="2" t="s">
        <v>378</v>
      </c>
      <c r="B194" s="3">
        <v>45434</v>
      </c>
      <c r="C194" s="2" t="s">
        <v>15</v>
      </c>
      <c r="D194" s="2" t="s">
        <v>16</v>
      </c>
      <c r="E194" s="2" t="s">
        <v>24</v>
      </c>
      <c r="F194" s="2" t="s">
        <v>25</v>
      </c>
      <c r="G194" s="2" t="s">
        <v>171</v>
      </c>
      <c r="H194" s="2" t="s">
        <v>45</v>
      </c>
      <c r="I194" s="4">
        <v>2</v>
      </c>
      <c r="J194" s="4">
        <v>730</v>
      </c>
      <c r="K194" s="4">
        <v>10</v>
      </c>
      <c r="L194" s="5">
        <f t="shared" ref="L194:L257" si="9">I194*J194*(1-K194/100)</f>
        <v>1314</v>
      </c>
      <c r="M194" s="5">
        <f t="shared" ref="M194:M257" si="10">L194*0.65</f>
        <v>854.1</v>
      </c>
      <c r="N194" s="5">
        <f t="shared" ref="N194:N257" si="11">L194-M194</f>
        <v>459.9</v>
      </c>
    </row>
    <row r="195" spans="1:14">
      <c r="A195" s="6" t="s">
        <v>379</v>
      </c>
      <c r="B195" s="7">
        <v>45437</v>
      </c>
      <c r="C195" s="6" t="s">
        <v>33</v>
      </c>
      <c r="D195" s="6" t="s">
        <v>34</v>
      </c>
      <c r="E195" s="6" t="s">
        <v>24</v>
      </c>
      <c r="F195" s="6" t="s">
        <v>63</v>
      </c>
      <c r="G195" s="6" t="s">
        <v>299</v>
      </c>
      <c r="H195" s="6" t="s">
        <v>52</v>
      </c>
      <c r="I195" s="8">
        <v>1</v>
      </c>
      <c r="J195" s="8">
        <v>1590</v>
      </c>
      <c r="K195" s="8">
        <v>20</v>
      </c>
      <c r="L195" s="9">
        <f t="shared" si="9"/>
        <v>1272</v>
      </c>
      <c r="M195" s="9">
        <f t="shared" si="10"/>
        <v>826.80000000000007</v>
      </c>
      <c r="N195" s="9">
        <f t="shared" si="11"/>
        <v>445.19999999999993</v>
      </c>
    </row>
    <row r="196" spans="1:14">
      <c r="A196" s="2" t="s">
        <v>380</v>
      </c>
      <c r="B196" s="3">
        <v>45438</v>
      </c>
      <c r="C196" s="2" t="s">
        <v>28</v>
      </c>
      <c r="D196" s="2" t="s">
        <v>29</v>
      </c>
      <c r="E196" s="2" t="s">
        <v>35</v>
      </c>
      <c r="F196" s="2" t="s">
        <v>36</v>
      </c>
      <c r="G196" s="2" t="s">
        <v>152</v>
      </c>
      <c r="H196" s="2" t="s">
        <v>52</v>
      </c>
      <c r="I196" s="4">
        <v>2</v>
      </c>
      <c r="J196" s="4">
        <v>230</v>
      </c>
      <c r="K196" s="4">
        <v>20</v>
      </c>
      <c r="L196" s="5">
        <f t="shared" si="9"/>
        <v>368</v>
      </c>
      <c r="M196" s="5">
        <f t="shared" si="10"/>
        <v>239.20000000000002</v>
      </c>
      <c r="N196" s="5">
        <f t="shared" si="11"/>
        <v>128.79999999999998</v>
      </c>
    </row>
    <row r="197" spans="1:14">
      <c r="A197" s="6" t="s">
        <v>381</v>
      </c>
      <c r="B197" s="7">
        <v>45438</v>
      </c>
      <c r="C197" s="6" t="s">
        <v>28</v>
      </c>
      <c r="D197" s="6" t="s">
        <v>29</v>
      </c>
      <c r="E197" s="6" t="s">
        <v>24</v>
      </c>
      <c r="F197" s="6" t="s">
        <v>66</v>
      </c>
      <c r="G197" s="6" t="s">
        <v>382</v>
      </c>
      <c r="H197" s="6" t="s">
        <v>20</v>
      </c>
      <c r="I197" s="8">
        <v>4</v>
      </c>
      <c r="J197" s="8">
        <v>650</v>
      </c>
      <c r="K197" s="8">
        <v>10</v>
      </c>
      <c r="L197" s="9">
        <f t="shared" si="9"/>
        <v>2340</v>
      </c>
      <c r="M197" s="9">
        <f t="shared" si="10"/>
        <v>1521</v>
      </c>
      <c r="N197" s="9">
        <f t="shared" si="11"/>
        <v>819</v>
      </c>
    </row>
    <row r="198" spans="1:14">
      <c r="A198" s="2" t="s">
        <v>383</v>
      </c>
      <c r="B198" s="3">
        <v>45439</v>
      </c>
      <c r="C198" s="2" t="s">
        <v>33</v>
      </c>
      <c r="D198" s="2" t="s">
        <v>34</v>
      </c>
      <c r="E198" s="2" t="s">
        <v>35</v>
      </c>
      <c r="F198" s="2" t="s">
        <v>182</v>
      </c>
      <c r="G198" s="2" t="s">
        <v>114</v>
      </c>
      <c r="H198" s="2" t="s">
        <v>52</v>
      </c>
      <c r="I198" s="4">
        <v>2</v>
      </c>
      <c r="J198" s="4">
        <v>520</v>
      </c>
      <c r="K198" s="4">
        <v>20</v>
      </c>
      <c r="L198" s="5">
        <f t="shared" si="9"/>
        <v>832</v>
      </c>
      <c r="M198" s="5">
        <f t="shared" si="10"/>
        <v>540.80000000000007</v>
      </c>
      <c r="N198" s="5">
        <f t="shared" si="11"/>
        <v>291.19999999999993</v>
      </c>
    </row>
    <row r="199" spans="1:14">
      <c r="A199" s="6" t="s">
        <v>384</v>
      </c>
      <c r="B199" s="7">
        <v>45439</v>
      </c>
      <c r="C199" s="6" t="s">
        <v>107</v>
      </c>
      <c r="D199" s="6" t="s">
        <v>108</v>
      </c>
      <c r="E199" s="6" t="s">
        <v>42</v>
      </c>
      <c r="F199" s="6" t="s">
        <v>47</v>
      </c>
      <c r="G199" s="6" t="s">
        <v>385</v>
      </c>
      <c r="H199" s="6" t="s">
        <v>20</v>
      </c>
      <c r="I199" s="8">
        <v>4</v>
      </c>
      <c r="J199" s="8">
        <v>1090</v>
      </c>
      <c r="K199" s="8">
        <v>10</v>
      </c>
      <c r="L199" s="9">
        <f t="shared" si="9"/>
        <v>3924</v>
      </c>
      <c r="M199" s="9">
        <f t="shared" si="10"/>
        <v>2550.6</v>
      </c>
      <c r="N199" s="9">
        <f t="shared" si="11"/>
        <v>1373.4</v>
      </c>
    </row>
    <row r="200" spans="1:14">
      <c r="A200" s="2" t="s">
        <v>386</v>
      </c>
      <c r="B200" s="3">
        <v>45439</v>
      </c>
      <c r="C200" s="2" t="s">
        <v>22</v>
      </c>
      <c r="D200" s="2" t="s">
        <v>23</v>
      </c>
      <c r="E200" s="2" t="s">
        <v>24</v>
      </c>
      <c r="F200" s="2" t="s">
        <v>66</v>
      </c>
      <c r="G200" s="2" t="s">
        <v>387</v>
      </c>
      <c r="H200" s="2" t="s">
        <v>52</v>
      </c>
      <c r="I200" s="4">
        <v>1</v>
      </c>
      <c r="J200" s="4">
        <v>690</v>
      </c>
      <c r="K200" s="4">
        <v>15</v>
      </c>
      <c r="L200" s="5">
        <f t="shared" si="9"/>
        <v>586.5</v>
      </c>
      <c r="M200" s="5">
        <f t="shared" si="10"/>
        <v>381.22500000000002</v>
      </c>
      <c r="N200" s="5">
        <f t="shared" si="11"/>
        <v>205.27499999999998</v>
      </c>
    </row>
    <row r="201" spans="1:14">
      <c r="A201" s="6" t="s">
        <v>388</v>
      </c>
      <c r="B201" s="7">
        <v>45439</v>
      </c>
      <c r="C201" s="6" t="s">
        <v>107</v>
      </c>
      <c r="D201" s="6" t="s">
        <v>108</v>
      </c>
      <c r="E201" s="6" t="s">
        <v>35</v>
      </c>
      <c r="F201" s="6" t="s">
        <v>109</v>
      </c>
      <c r="G201" s="6" t="s">
        <v>231</v>
      </c>
      <c r="H201" s="6" t="s">
        <v>52</v>
      </c>
      <c r="I201" s="8">
        <v>3</v>
      </c>
      <c r="J201" s="8">
        <v>450</v>
      </c>
      <c r="K201" s="8">
        <v>15</v>
      </c>
      <c r="L201" s="9">
        <f t="shared" si="9"/>
        <v>1147.5</v>
      </c>
      <c r="M201" s="9">
        <f t="shared" si="10"/>
        <v>745.875</v>
      </c>
      <c r="N201" s="9">
        <f t="shared" si="11"/>
        <v>401.625</v>
      </c>
    </row>
    <row r="202" spans="1:14">
      <c r="A202" s="2" t="s">
        <v>389</v>
      </c>
      <c r="B202" s="3">
        <v>45439</v>
      </c>
      <c r="C202" s="2" t="s">
        <v>15</v>
      </c>
      <c r="D202" s="2" t="s">
        <v>16</v>
      </c>
      <c r="E202" s="2" t="s">
        <v>35</v>
      </c>
      <c r="F202" s="2" t="s">
        <v>50</v>
      </c>
      <c r="G202" s="2" t="s">
        <v>160</v>
      </c>
      <c r="H202" s="2" t="s">
        <v>52</v>
      </c>
      <c r="I202" s="4">
        <v>1</v>
      </c>
      <c r="J202" s="4">
        <v>320</v>
      </c>
      <c r="K202" s="4">
        <v>15</v>
      </c>
      <c r="L202" s="5">
        <f t="shared" si="9"/>
        <v>272</v>
      </c>
      <c r="M202" s="5">
        <f t="shared" si="10"/>
        <v>176.8</v>
      </c>
      <c r="N202" s="5">
        <f t="shared" si="11"/>
        <v>95.199999999999989</v>
      </c>
    </row>
    <row r="203" spans="1:14">
      <c r="A203" s="6" t="s">
        <v>390</v>
      </c>
      <c r="B203" s="7">
        <v>45440</v>
      </c>
      <c r="C203" s="6" t="s">
        <v>15</v>
      </c>
      <c r="D203" s="6" t="s">
        <v>16</v>
      </c>
      <c r="E203" s="6" t="s">
        <v>42</v>
      </c>
      <c r="F203" s="6" t="s">
        <v>199</v>
      </c>
      <c r="G203" s="6" t="s">
        <v>128</v>
      </c>
      <c r="H203" s="6" t="s">
        <v>52</v>
      </c>
      <c r="I203" s="8">
        <v>1</v>
      </c>
      <c r="J203" s="8">
        <v>350</v>
      </c>
      <c r="K203" s="8">
        <v>15</v>
      </c>
      <c r="L203" s="9">
        <f t="shared" si="9"/>
        <v>297.5</v>
      </c>
      <c r="M203" s="9">
        <f t="shared" si="10"/>
        <v>193.375</v>
      </c>
      <c r="N203" s="9">
        <f t="shared" si="11"/>
        <v>104.125</v>
      </c>
    </row>
    <row r="204" spans="1:14">
      <c r="A204" s="2" t="s">
        <v>391</v>
      </c>
      <c r="B204" s="3">
        <v>45441</v>
      </c>
      <c r="C204" s="2" t="s">
        <v>15</v>
      </c>
      <c r="D204" s="2" t="s">
        <v>16</v>
      </c>
      <c r="E204" s="2" t="s">
        <v>17</v>
      </c>
      <c r="F204" s="2" t="s">
        <v>30</v>
      </c>
      <c r="G204" s="2" t="s">
        <v>31</v>
      </c>
      <c r="H204" s="2" t="s">
        <v>52</v>
      </c>
      <c r="I204" s="4">
        <v>2</v>
      </c>
      <c r="J204" s="4">
        <v>250</v>
      </c>
      <c r="K204" s="4">
        <v>15</v>
      </c>
      <c r="L204" s="5">
        <f t="shared" si="9"/>
        <v>425</v>
      </c>
      <c r="M204" s="5">
        <f t="shared" si="10"/>
        <v>276.25</v>
      </c>
      <c r="N204" s="5">
        <f t="shared" si="11"/>
        <v>148.75</v>
      </c>
    </row>
    <row r="205" spans="1:14">
      <c r="A205" s="6" t="s">
        <v>392</v>
      </c>
      <c r="B205" s="7">
        <v>45442</v>
      </c>
      <c r="C205" s="6" t="s">
        <v>107</v>
      </c>
      <c r="D205" s="6" t="s">
        <v>108</v>
      </c>
      <c r="E205" s="6" t="s">
        <v>42</v>
      </c>
      <c r="F205" s="6" t="s">
        <v>113</v>
      </c>
      <c r="G205" s="6" t="s">
        <v>139</v>
      </c>
      <c r="H205" s="6" t="s">
        <v>52</v>
      </c>
      <c r="I205" s="8">
        <v>2</v>
      </c>
      <c r="J205" s="8">
        <v>860</v>
      </c>
      <c r="K205" s="8">
        <v>20</v>
      </c>
      <c r="L205" s="9">
        <f t="shared" si="9"/>
        <v>1376</v>
      </c>
      <c r="M205" s="9">
        <f t="shared" si="10"/>
        <v>894.4</v>
      </c>
      <c r="N205" s="9">
        <f t="shared" si="11"/>
        <v>481.6</v>
      </c>
    </row>
    <row r="206" spans="1:14">
      <c r="A206" s="2" t="s">
        <v>393</v>
      </c>
      <c r="B206" s="3">
        <v>45442</v>
      </c>
      <c r="C206" s="2" t="s">
        <v>28</v>
      </c>
      <c r="D206" s="2" t="s">
        <v>29</v>
      </c>
      <c r="E206" s="2" t="s">
        <v>24</v>
      </c>
      <c r="F206" s="2" t="s">
        <v>71</v>
      </c>
      <c r="G206" s="2" t="s">
        <v>394</v>
      </c>
      <c r="H206" s="2" t="s">
        <v>52</v>
      </c>
      <c r="I206" s="4">
        <v>2</v>
      </c>
      <c r="J206" s="4">
        <v>880</v>
      </c>
      <c r="K206" s="4">
        <v>20</v>
      </c>
      <c r="L206" s="5">
        <f t="shared" si="9"/>
        <v>1408</v>
      </c>
      <c r="M206" s="5">
        <f t="shared" si="10"/>
        <v>915.2</v>
      </c>
      <c r="N206" s="5">
        <f t="shared" si="11"/>
        <v>492.79999999999995</v>
      </c>
    </row>
    <row r="207" spans="1:14">
      <c r="A207" s="6" t="s">
        <v>395</v>
      </c>
      <c r="B207" s="7">
        <v>45443</v>
      </c>
      <c r="C207" s="6" t="s">
        <v>33</v>
      </c>
      <c r="D207" s="6" t="s">
        <v>34</v>
      </c>
      <c r="E207" s="6" t="s">
        <v>35</v>
      </c>
      <c r="F207" s="6" t="s">
        <v>60</v>
      </c>
      <c r="G207" s="6" t="s">
        <v>110</v>
      </c>
      <c r="H207" s="6" t="s">
        <v>52</v>
      </c>
      <c r="I207" s="8">
        <v>4</v>
      </c>
      <c r="J207" s="8">
        <v>640</v>
      </c>
      <c r="K207" s="8">
        <v>15</v>
      </c>
      <c r="L207" s="9">
        <f t="shared" si="9"/>
        <v>2176</v>
      </c>
      <c r="M207" s="9">
        <f t="shared" si="10"/>
        <v>1414.4</v>
      </c>
      <c r="N207" s="9">
        <f t="shared" si="11"/>
        <v>761.59999999999991</v>
      </c>
    </row>
    <row r="208" spans="1:14">
      <c r="A208" s="2" t="s">
        <v>396</v>
      </c>
      <c r="B208" s="3">
        <v>45444</v>
      </c>
      <c r="C208" s="2" t="s">
        <v>28</v>
      </c>
      <c r="D208" s="2" t="s">
        <v>29</v>
      </c>
      <c r="E208" s="2" t="s">
        <v>42</v>
      </c>
      <c r="F208" s="2" t="s">
        <v>74</v>
      </c>
      <c r="G208" s="2" t="s">
        <v>397</v>
      </c>
      <c r="H208" s="2" t="s">
        <v>20</v>
      </c>
      <c r="I208" s="4">
        <v>5</v>
      </c>
      <c r="J208" s="4">
        <v>1200</v>
      </c>
      <c r="K208" s="4">
        <v>10</v>
      </c>
      <c r="L208" s="5">
        <f t="shared" si="9"/>
        <v>5400</v>
      </c>
      <c r="M208" s="5">
        <f t="shared" si="10"/>
        <v>3510</v>
      </c>
      <c r="N208" s="5">
        <f t="shared" si="11"/>
        <v>1890</v>
      </c>
    </row>
    <row r="209" spans="1:14">
      <c r="A209" s="6" t="s">
        <v>398</v>
      </c>
      <c r="B209" s="7">
        <v>45444</v>
      </c>
      <c r="C209" s="6" t="s">
        <v>33</v>
      </c>
      <c r="D209" s="6" t="s">
        <v>34</v>
      </c>
      <c r="E209" s="6" t="s">
        <v>35</v>
      </c>
      <c r="F209" s="6" t="s">
        <v>109</v>
      </c>
      <c r="G209" s="6" t="s">
        <v>399</v>
      </c>
      <c r="H209" s="6" t="s">
        <v>52</v>
      </c>
      <c r="I209" s="8">
        <v>1</v>
      </c>
      <c r="J209" s="8">
        <v>440</v>
      </c>
      <c r="K209" s="8">
        <v>15</v>
      </c>
      <c r="L209" s="9">
        <f t="shared" si="9"/>
        <v>374</v>
      </c>
      <c r="M209" s="9">
        <f t="shared" si="10"/>
        <v>243.1</v>
      </c>
      <c r="N209" s="9">
        <f t="shared" si="11"/>
        <v>130.9</v>
      </c>
    </row>
    <row r="210" spans="1:14">
      <c r="A210" s="2" t="s">
        <v>400</v>
      </c>
      <c r="B210" s="3">
        <v>45446</v>
      </c>
      <c r="C210" s="2" t="s">
        <v>107</v>
      </c>
      <c r="D210" s="2" t="s">
        <v>108</v>
      </c>
      <c r="E210" s="2" t="s">
        <v>24</v>
      </c>
      <c r="F210" s="2" t="s">
        <v>83</v>
      </c>
      <c r="G210" s="2" t="s">
        <v>185</v>
      </c>
      <c r="H210" s="2" t="s">
        <v>45</v>
      </c>
      <c r="I210" s="4">
        <v>3</v>
      </c>
      <c r="J210" s="4">
        <v>570</v>
      </c>
      <c r="K210" s="4">
        <v>0</v>
      </c>
      <c r="L210" s="5">
        <f t="shared" si="9"/>
        <v>1710</v>
      </c>
      <c r="M210" s="5">
        <f t="shared" si="10"/>
        <v>1111.5</v>
      </c>
      <c r="N210" s="5">
        <f t="shared" si="11"/>
        <v>598.5</v>
      </c>
    </row>
    <row r="211" spans="1:14">
      <c r="A211" s="6" t="s">
        <v>401</v>
      </c>
      <c r="B211" s="7">
        <v>45446</v>
      </c>
      <c r="C211" s="6" t="s">
        <v>22</v>
      </c>
      <c r="D211" s="6" t="s">
        <v>23</v>
      </c>
      <c r="E211" s="6" t="s">
        <v>42</v>
      </c>
      <c r="F211" s="6" t="s">
        <v>199</v>
      </c>
      <c r="G211" s="6" t="s">
        <v>402</v>
      </c>
      <c r="H211" s="6" t="s">
        <v>45</v>
      </c>
      <c r="I211" s="8">
        <v>2</v>
      </c>
      <c r="J211" s="8">
        <v>360</v>
      </c>
      <c r="K211" s="8">
        <v>5</v>
      </c>
      <c r="L211" s="9">
        <f t="shared" si="9"/>
        <v>684</v>
      </c>
      <c r="M211" s="9">
        <f t="shared" si="10"/>
        <v>444.6</v>
      </c>
      <c r="N211" s="9">
        <f t="shared" si="11"/>
        <v>239.39999999999998</v>
      </c>
    </row>
    <row r="212" spans="1:14">
      <c r="A212" s="2" t="s">
        <v>403</v>
      </c>
      <c r="B212" s="3">
        <v>45447</v>
      </c>
      <c r="C212" s="2" t="s">
        <v>15</v>
      </c>
      <c r="D212" s="2" t="s">
        <v>16</v>
      </c>
      <c r="E212" s="2" t="s">
        <v>24</v>
      </c>
      <c r="F212" s="2" t="s">
        <v>66</v>
      </c>
      <c r="G212" s="2" t="s">
        <v>404</v>
      </c>
      <c r="H212" s="2" t="s">
        <v>20</v>
      </c>
      <c r="I212" s="4">
        <v>3</v>
      </c>
      <c r="J212" s="4">
        <v>710</v>
      </c>
      <c r="K212" s="4">
        <v>5</v>
      </c>
      <c r="L212" s="5">
        <f t="shared" si="9"/>
        <v>2023.5</v>
      </c>
      <c r="M212" s="5">
        <f t="shared" si="10"/>
        <v>1315.2750000000001</v>
      </c>
      <c r="N212" s="5">
        <f t="shared" si="11"/>
        <v>708.22499999999991</v>
      </c>
    </row>
    <row r="213" spans="1:14">
      <c r="A213" s="6" t="s">
        <v>405</v>
      </c>
      <c r="B213" s="7">
        <v>45447</v>
      </c>
      <c r="C213" s="6" t="s">
        <v>22</v>
      </c>
      <c r="D213" s="6" t="s">
        <v>23</v>
      </c>
      <c r="E213" s="6" t="s">
        <v>42</v>
      </c>
      <c r="F213" s="6" t="s">
        <v>74</v>
      </c>
      <c r="G213" s="6" t="s">
        <v>406</v>
      </c>
      <c r="H213" s="6" t="s">
        <v>45</v>
      </c>
      <c r="I213" s="8">
        <v>2</v>
      </c>
      <c r="J213" s="8">
        <v>1320</v>
      </c>
      <c r="K213" s="8">
        <v>10</v>
      </c>
      <c r="L213" s="9">
        <f t="shared" si="9"/>
        <v>2376</v>
      </c>
      <c r="M213" s="9">
        <f t="shared" si="10"/>
        <v>1544.4</v>
      </c>
      <c r="N213" s="9">
        <f t="shared" si="11"/>
        <v>831.59999999999991</v>
      </c>
    </row>
    <row r="214" spans="1:14">
      <c r="A214" s="2" t="s">
        <v>407</v>
      </c>
      <c r="B214" s="3">
        <v>45448</v>
      </c>
      <c r="C214" s="2" t="s">
        <v>22</v>
      </c>
      <c r="D214" s="2" t="s">
        <v>23</v>
      </c>
      <c r="E214" s="2" t="s">
        <v>17</v>
      </c>
      <c r="F214" s="2" t="s">
        <v>18</v>
      </c>
      <c r="G214" s="2" t="s">
        <v>387</v>
      </c>
      <c r="H214" s="2" t="s">
        <v>20</v>
      </c>
      <c r="I214" s="4">
        <v>3</v>
      </c>
      <c r="J214" s="4">
        <v>300</v>
      </c>
      <c r="K214" s="4">
        <v>10</v>
      </c>
      <c r="L214" s="5">
        <f t="shared" si="9"/>
        <v>810</v>
      </c>
      <c r="M214" s="5">
        <f t="shared" si="10"/>
        <v>526.5</v>
      </c>
      <c r="N214" s="5">
        <f t="shared" si="11"/>
        <v>283.5</v>
      </c>
    </row>
    <row r="215" spans="1:14">
      <c r="A215" s="6" t="s">
        <v>408</v>
      </c>
      <c r="B215" s="7">
        <v>45449</v>
      </c>
      <c r="C215" s="6" t="s">
        <v>22</v>
      </c>
      <c r="D215" s="6" t="s">
        <v>23</v>
      </c>
      <c r="E215" s="6" t="s">
        <v>17</v>
      </c>
      <c r="F215" s="6" t="s">
        <v>18</v>
      </c>
      <c r="G215" s="6" t="s">
        <v>55</v>
      </c>
      <c r="H215" s="6" t="s">
        <v>20</v>
      </c>
      <c r="I215" s="8">
        <v>2</v>
      </c>
      <c r="J215" s="8">
        <v>280</v>
      </c>
      <c r="K215" s="8">
        <v>10</v>
      </c>
      <c r="L215" s="9">
        <f t="shared" si="9"/>
        <v>504</v>
      </c>
      <c r="M215" s="9">
        <f t="shared" si="10"/>
        <v>327.60000000000002</v>
      </c>
      <c r="N215" s="9">
        <f t="shared" si="11"/>
        <v>176.39999999999998</v>
      </c>
    </row>
    <row r="216" spans="1:14">
      <c r="A216" s="2" t="s">
        <v>409</v>
      </c>
      <c r="B216" s="3">
        <v>45449</v>
      </c>
      <c r="C216" s="2" t="s">
        <v>107</v>
      </c>
      <c r="D216" s="2" t="s">
        <v>108</v>
      </c>
      <c r="E216" s="2" t="s">
        <v>35</v>
      </c>
      <c r="F216" s="2" t="s">
        <v>95</v>
      </c>
      <c r="G216" s="2" t="s">
        <v>410</v>
      </c>
      <c r="H216" s="2" t="s">
        <v>52</v>
      </c>
      <c r="I216" s="4">
        <v>1</v>
      </c>
      <c r="J216" s="4">
        <v>410</v>
      </c>
      <c r="K216" s="4">
        <v>20</v>
      </c>
      <c r="L216" s="5">
        <f t="shared" si="9"/>
        <v>328</v>
      </c>
      <c r="M216" s="5">
        <f t="shared" si="10"/>
        <v>213.20000000000002</v>
      </c>
      <c r="N216" s="5">
        <f t="shared" si="11"/>
        <v>114.79999999999998</v>
      </c>
    </row>
    <row r="217" spans="1:14">
      <c r="A217" s="6" t="s">
        <v>411</v>
      </c>
      <c r="B217" s="7">
        <v>45449</v>
      </c>
      <c r="C217" s="6" t="s">
        <v>15</v>
      </c>
      <c r="D217" s="6" t="s">
        <v>16</v>
      </c>
      <c r="E217" s="6" t="s">
        <v>35</v>
      </c>
      <c r="F217" s="6" t="s">
        <v>95</v>
      </c>
      <c r="G217" s="6" t="s">
        <v>130</v>
      </c>
      <c r="H217" s="6" t="s">
        <v>45</v>
      </c>
      <c r="I217" s="8">
        <v>1</v>
      </c>
      <c r="J217" s="8">
        <v>420</v>
      </c>
      <c r="K217" s="8">
        <v>5</v>
      </c>
      <c r="L217" s="9">
        <f t="shared" si="9"/>
        <v>399</v>
      </c>
      <c r="M217" s="9">
        <f t="shared" si="10"/>
        <v>259.35000000000002</v>
      </c>
      <c r="N217" s="9">
        <f t="shared" si="11"/>
        <v>139.64999999999998</v>
      </c>
    </row>
    <row r="218" spans="1:14">
      <c r="A218" s="2" t="s">
        <v>412</v>
      </c>
      <c r="B218" s="3">
        <v>45449</v>
      </c>
      <c r="C218" s="2" t="s">
        <v>28</v>
      </c>
      <c r="D218" s="2" t="s">
        <v>29</v>
      </c>
      <c r="E218" s="2" t="s">
        <v>35</v>
      </c>
      <c r="F218" s="2" t="s">
        <v>57</v>
      </c>
      <c r="G218" s="2" t="s">
        <v>114</v>
      </c>
      <c r="H218" s="2" t="s">
        <v>45</v>
      </c>
      <c r="I218" s="4">
        <v>2</v>
      </c>
      <c r="J218" s="4">
        <v>970</v>
      </c>
      <c r="K218" s="4">
        <v>0</v>
      </c>
      <c r="L218" s="5">
        <f t="shared" si="9"/>
        <v>1940</v>
      </c>
      <c r="M218" s="5">
        <f t="shared" si="10"/>
        <v>1261</v>
      </c>
      <c r="N218" s="5">
        <f t="shared" si="11"/>
        <v>679</v>
      </c>
    </row>
    <row r="219" spans="1:14">
      <c r="A219" s="6" t="s">
        <v>413</v>
      </c>
      <c r="B219" s="7">
        <v>45450</v>
      </c>
      <c r="C219" s="6" t="s">
        <v>28</v>
      </c>
      <c r="D219" s="6" t="s">
        <v>29</v>
      </c>
      <c r="E219" s="6" t="s">
        <v>35</v>
      </c>
      <c r="F219" s="6" t="s">
        <v>50</v>
      </c>
      <c r="G219" s="6" t="s">
        <v>246</v>
      </c>
      <c r="H219" s="6" t="s">
        <v>45</v>
      </c>
      <c r="I219" s="8">
        <v>5</v>
      </c>
      <c r="J219" s="8">
        <v>320</v>
      </c>
      <c r="K219" s="8">
        <v>10</v>
      </c>
      <c r="L219" s="9">
        <f t="shared" si="9"/>
        <v>1440</v>
      </c>
      <c r="M219" s="9">
        <f t="shared" si="10"/>
        <v>936</v>
      </c>
      <c r="N219" s="9">
        <f t="shared" si="11"/>
        <v>504</v>
      </c>
    </row>
    <row r="220" spans="1:14">
      <c r="A220" s="2" t="s">
        <v>414</v>
      </c>
      <c r="B220" s="3">
        <v>45452</v>
      </c>
      <c r="C220" s="2" t="s">
        <v>28</v>
      </c>
      <c r="D220" s="2" t="s">
        <v>29</v>
      </c>
      <c r="E220" s="2" t="s">
        <v>42</v>
      </c>
      <c r="F220" s="2" t="s">
        <v>47</v>
      </c>
      <c r="G220" s="2" t="s">
        <v>415</v>
      </c>
      <c r="H220" s="2" t="s">
        <v>45</v>
      </c>
      <c r="I220" s="4">
        <v>3</v>
      </c>
      <c r="J220" s="4">
        <v>1080</v>
      </c>
      <c r="K220" s="4">
        <v>0</v>
      </c>
      <c r="L220" s="5">
        <f t="shared" si="9"/>
        <v>3240</v>
      </c>
      <c r="M220" s="5">
        <f t="shared" si="10"/>
        <v>2106</v>
      </c>
      <c r="N220" s="5">
        <f t="shared" si="11"/>
        <v>1134</v>
      </c>
    </row>
    <row r="221" spans="1:14">
      <c r="A221" s="6" t="s">
        <v>416</v>
      </c>
      <c r="B221" s="7">
        <v>45452</v>
      </c>
      <c r="C221" s="6" t="s">
        <v>22</v>
      </c>
      <c r="D221" s="6" t="s">
        <v>23</v>
      </c>
      <c r="E221" s="6" t="s">
        <v>35</v>
      </c>
      <c r="F221" s="6" t="s">
        <v>50</v>
      </c>
      <c r="G221" s="6" t="s">
        <v>404</v>
      </c>
      <c r="H221" s="6" t="s">
        <v>45</v>
      </c>
      <c r="I221" s="8">
        <v>2</v>
      </c>
      <c r="J221" s="8">
        <v>310</v>
      </c>
      <c r="K221" s="8">
        <v>5</v>
      </c>
      <c r="L221" s="9">
        <f t="shared" si="9"/>
        <v>589</v>
      </c>
      <c r="M221" s="9">
        <f t="shared" si="10"/>
        <v>382.85</v>
      </c>
      <c r="N221" s="9">
        <f t="shared" si="11"/>
        <v>206.14999999999998</v>
      </c>
    </row>
    <row r="222" spans="1:14">
      <c r="A222" s="2" t="s">
        <v>417</v>
      </c>
      <c r="B222" s="3">
        <v>45452</v>
      </c>
      <c r="C222" s="2" t="s">
        <v>107</v>
      </c>
      <c r="D222" s="2" t="s">
        <v>108</v>
      </c>
      <c r="E222" s="2" t="s">
        <v>24</v>
      </c>
      <c r="F222" s="2" t="s">
        <v>63</v>
      </c>
      <c r="G222" s="2" t="s">
        <v>418</v>
      </c>
      <c r="H222" s="2" t="s">
        <v>20</v>
      </c>
      <c r="I222" s="4">
        <v>1</v>
      </c>
      <c r="J222" s="4">
        <v>1650</v>
      </c>
      <c r="K222" s="4">
        <v>5</v>
      </c>
      <c r="L222" s="5">
        <f t="shared" si="9"/>
        <v>1567.5</v>
      </c>
      <c r="M222" s="5">
        <f t="shared" si="10"/>
        <v>1018.875</v>
      </c>
      <c r="N222" s="5">
        <f t="shared" si="11"/>
        <v>548.625</v>
      </c>
    </row>
    <row r="223" spans="1:14">
      <c r="A223" s="6" t="s">
        <v>419</v>
      </c>
      <c r="B223" s="7">
        <v>45455</v>
      </c>
      <c r="C223" s="6" t="s">
        <v>22</v>
      </c>
      <c r="D223" s="6" t="s">
        <v>23</v>
      </c>
      <c r="E223" s="6" t="s">
        <v>24</v>
      </c>
      <c r="F223" s="6" t="s">
        <v>125</v>
      </c>
      <c r="G223" s="6" t="s">
        <v>75</v>
      </c>
      <c r="H223" s="6" t="s">
        <v>45</v>
      </c>
      <c r="I223" s="8">
        <v>3</v>
      </c>
      <c r="J223" s="8">
        <v>540</v>
      </c>
      <c r="K223" s="8">
        <v>5</v>
      </c>
      <c r="L223" s="9">
        <f t="shared" si="9"/>
        <v>1539</v>
      </c>
      <c r="M223" s="9">
        <f t="shared" si="10"/>
        <v>1000.35</v>
      </c>
      <c r="N223" s="9">
        <f t="shared" si="11"/>
        <v>538.65</v>
      </c>
    </row>
    <row r="224" spans="1:14">
      <c r="A224" s="2" t="s">
        <v>420</v>
      </c>
      <c r="B224" s="3">
        <v>45456</v>
      </c>
      <c r="C224" s="2" t="s">
        <v>33</v>
      </c>
      <c r="D224" s="2" t="s">
        <v>34</v>
      </c>
      <c r="E224" s="2" t="s">
        <v>42</v>
      </c>
      <c r="F224" s="2" t="s">
        <v>43</v>
      </c>
      <c r="G224" s="2" t="s">
        <v>421</v>
      </c>
      <c r="H224" s="2" t="s">
        <v>20</v>
      </c>
      <c r="I224" s="4">
        <v>3</v>
      </c>
      <c r="J224" s="4">
        <v>3610</v>
      </c>
      <c r="K224" s="4">
        <v>5</v>
      </c>
      <c r="L224" s="5">
        <f t="shared" si="9"/>
        <v>10288.5</v>
      </c>
      <c r="M224" s="5">
        <f t="shared" si="10"/>
        <v>6687.5250000000005</v>
      </c>
      <c r="N224" s="5">
        <f t="shared" si="11"/>
        <v>3600.9749999999995</v>
      </c>
    </row>
    <row r="225" spans="1:14">
      <c r="A225" s="6" t="s">
        <v>422</v>
      </c>
      <c r="B225" s="7">
        <v>45456</v>
      </c>
      <c r="C225" s="6" t="s">
        <v>107</v>
      </c>
      <c r="D225" s="6" t="s">
        <v>108</v>
      </c>
      <c r="E225" s="6" t="s">
        <v>17</v>
      </c>
      <c r="F225" s="6" t="s">
        <v>80</v>
      </c>
      <c r="G225" s="6" t="s">
        <v>236</v>
      </c>
      <c r="H225" s="6" t="s">
        <v>45</v>
      </c>
      <c r="I225" s="8">
        <v>1</v>
      </c>
      <c r="J225" s="8">
        <v>140</v>
      </c>
      <c r="K225" s="8">
        <v>0</v>
      </c>
      <c r="L225" s="9">
        <f t="shared" si="9"/>
        <v>140</v>
      </c>
      <c r="M225" s="9">
        <f t="shared" si="10"/>
        <v>91</v>
      </c>
      <c r="N225" s="9">
        <f t="shared" si="11"/>
        <v>49</v>
      </c>
    </row>
    <row r="226" spans="1:14">
      <c r="A226" s="2" t="s">
        <v>423</v>
      </c>
      <c r="B226" s="3">
        <v>45456</v>
      </c>
      <c r="C226" s="2" t="s">
        <v>33</v>
      </c>
      <c r="D226" s="2" t="s">
        <v>34</v>
      </c>
      <c r="E226" s="2" t="s">
        <v>35</v>
      </c>
      <c r="F226" s="2" t="s">
        <v>57</v>
      </c>
      <c r="G226" s="2" t="s">
        <v>424</v>
      </c>
      <c r="H226" s="2" t="s">
        <v>20</v>
      </c>
      <c r="I226" s="4">
        <v>1</v>
      </c>
      <c r="J226" s="4">
        <v>910</v>
      </c>
      <c r="K226" s="4">
        <v>10</v>
      </c>
      <c r="L226" s="5">
        <f t="shared" si="9"/>
        <v>819</v>
      </c>
      <c r="M226" s="5">
        <f t="shared" si="10"/>
        <v>532.35</v>
      </c>
      <c r="N226" s="5">
        <f t="shared" si="11"/>
        <v>286.64999999999998</v>
      </c>
    </row>
    <row r="227" spans="1:14">
      <c r="A227" s="6" t="s">
        <v>425</v>
      </c>
      <c r="B227" s="7">
        <v>45456</v>
      </c>
      <c r="C227" s="6" t="s">
        <v>22</v>
      </c>
      <c r="D227" s="6" t="s">
        <v>23</v>
      </c>
      <c r="E227" s="6" t="s">
        <v>35</v>
      </c>
      <c r="F227" s="6" t="s">
        <v>50</v>
      </c>
      <c r="G227" s="6" t="s">
        <v>402</v>
      </c>
      <c r="H227" s="6" t="s">
        <v>52</v>
      </c>
      <c r="I227" s="8">
        <v>1</v>
      </c>
      <c r="J227" s="8">
        <v>330</v>
      </c>
      <c r="K227" s="8">
        <v>15</v>
      </c>
      <c r="L227" s="9">
        <f t="shared" si="9"/>
        <v>280.5</v>
      </c>
      <c r="M227" s="9">
        <f t="shared" si="10"/>
        <v>182.32500000000002</v>
      </c>
      <c r="N227" s="9">
        <f t="shared" si="11"/>
        <v>98.174999999999983</v>
      </c>
    </row>
    <row r="228" spans="1:14">
      <c r="A228" s="2" t="s">
        <v>426</v>
      </c>
      <c r="B228" s="3">
        <v>45457</v>
      </c>
      <c r="C228" s="2" t="s">
        <v>15</v>
      </c>
      <c r="D228" s="2" t="s">
        <v>16</v>
      </c>
      <c r="E228" s="2" t="s">
        <v>17</v>
      </c>
      <c r="F228" s="2" t="s">
        <v>224</v>
      </c>
      <c r="G228" s="2" t="s">
        <v>154</v>
      </c>
      <c r="H228" s="2" t="s">
        <v>45</v>
      </c>
      <c r="I228" s="4">
        <v>2</v>
      </c>
      <c r="J228" s="4">
        <v>90</v>
      </c>
      <c r="K228" s="4">
        <v>5</v>
      </c>
      <c r="L228" s="5">
        <f t="shared" si="9"/>
        <v>171</v>
      </c>
      <c r="M228" s="5">
        <f t="shared" si="10"/>
        <v>111.15</v>
      </c>
      <c r="N228" s="5">
        <f t="shared" si="11"/>
        <v>59.849999999999994</v>
      </c>
    </row>
    <row r="229" spans="1:14">
      <c r="A229" s="6" t="s">
        <v>427</v>
      </c>
      <c r="B229" s="7">
        <v>45458</v>
      </c>
      <c r="C229" s="6" t="s">
        <v>33</v>
      </c>
      <c r="D229" s="6" t="s">
        <v>34</v>
      </c>
      <c r="E229" s="6" t="s">
        <v>35</v>
      </c>
      <c r="F229" s="6" t="s">
        <v>60</v>
      </c>
      <c r="G229" s="6" t="s">
        <v>428</v>
      </c>
      <c r="H229" s="6" t="s">
        <v>20</v>
      </c>
      <c r="I229" s="8">
        <v>3</v>
      </c>
      <c r="J229" s="8">
        <v>740</v>
      </c>
      <c r="K229" s="8">
        <v>5</v>
      </c>
      <c r="L229" s="9">
        <f t="shared" si="9"/>
        <v>2109</v>
      </c>
      <c r="M229" s="9">
        <f t="shared" si="10"/>
        <v>1370.8500000000001</v>
      </c>
      <c r="N229" s="9">
        <f t="shared" si="11"/>
        <v>738.14999999999986</v>
      </c>
    </row>
    <row r="230" spans="1:14">
      <c r="A230" s="2" t="s">
        <v>429</v>
      </c>
      <c r="B230" s="3">
        <v>45458</v>
      </c>
      <c r="C230" s="2" t="s">
        <v>33</v>
      </c>
      <c r="D230" s="2" t="s">
        <v>34</v>
      </c>
      <c r="E230" s="2" t="s">
        <v>17</v>
      </c>
      <c r="F230" s="2" t="s">
        <v>224</v>
      </c>
      <c r="G230" s="2" t="s">
        <v>93</v>
      </c>
      <c r="H230" s="2" t="s">
        <v>52</v>
      </c>
      <c r="I230" s="4">
        <v>4</v>
      </c>
      <c r="J230" s="4">
        <v>80</v>
      </c>
      <c r="K230" s="4">
        <v>20</v>
      </c>
      <c r="L230" s="5">
        <f t="shared" si="9"/>
        <v>256</v>
      </c>
      <c r="M230" s="5">
        <f t="shared" si="10"/>
        <v>166.4</v>
      </c>
      <c r="N230" s="5">
        <f t="shared" si="11"/>
        <v>89.6</v>
      </c>
    </row>
    <row r="231" spans="1:14">
      <c r="A231" s="6" t="s">
        <v>430</v>
      </c>
      <c r="B231" s="7">
        <v>45459</v>
      </c>
      <c r="C231" s="6" t="s">
        <v>22</v>
      </c>
      <c r="D231" s="6" t="s">
        <v>23</v>
      </c>
      <c r="E231" s="6" t="s">
        <v>24</v>
      </c>
      <c r="F231" s="6" t="s">
        <v>66</v>
      </c>
      <c r="G231" s="6" t="s">
        <v>100</v>
      </c>
      <c r="H231" s="6" t="s">
        <v>52</v>
      </c>
      <c r="I231" s="8">
        <v>1</v>
      </c>
      <c r="J231" s="8">
        <v>720</v>
      </c>
      <c r="K231" s="8">
        <v>15</v>
      </c>
      <c r="L231" s="9">
        <f t="shared" si="9"/>
        <v>612</v>
      </c>
      <c r="M231" s="9">
        <f t="shared" si="10"/>
        <v>397.8</v>
      </c>
      <c r="N231" s="9">
        <f t="shared" si="11"/>
        <v>214.2</v>
      </c>
    </row>
    <row r="232" spans="1:14">
      <c r="A232" s="2" t="s">
        <v>431</v>
      </c>
      <c r="B232" s="3">
        <v>45460</v>
      </c>
      <c r="C232" s="2" t="s">
        <v>33</v>
      </c>
      <c r="D232" s="2" t="s">
        <v>34</v>
      </c>
      <c r="E232" s="2" t="s">
        <v>42</v>
      </c>
      <c r="F232" s="2" t="s">
        <v>199</v>
      </c>
      <c r="G232" s="2" t="s">
        <v>432</v>
      </c>
      <c r="H232" s="2" t="s">
        <v>20</v>
      </c>
      <c r="I232" s="4">
        <v>5</v>
      </c>
      <c r="J232" s="4">
        <v>340</v>
      </c>
      <c r="K232" s="4">
        <v>15</v>
      </c>
      <c r="L232" s="5">
        <f t="shared" si="9"/>
        <v>1445</v>
      </c>
      <c r="M232" s="5">
        <f t="shared" si="10"/>
        <v>939.25</v>
      </c>
      <c r="N232" s="5">
        <f t="shared" si="11"/>
        <v>505.75</v>
      </c>
    </row>
    <row r="233" spans="1:14">
      <c r="A233" s="6" t="s">
        <v>433</v>
      </c>
      <c r="B233" s="7">
        <v>45460</v>
      </c>
      <c r="C233" s="6" t="s">
        <v>28</v>
      </c>
      <c r="D233" s="6" t="s">
        <v>29</v>
      </c>
      <c r="E233" s="6" t="s">
        <v>35</v>
      </c>
      <c r="F233" s="6" t="s">
        <v>95</v>
      </c>
      <c r="G233" s="6" t="s">
        <v>434</v>
      </c>
      <c r="H233" s="6" t="s">
        <v>52</v>
      </c>
      <c r="I233" s="8">
        <v>2</v>
      </c>
      <c r="J233" s="8">
        <v>410</v>
      </c>
      <c r="K233" s="8">
        <v>15</v>
      </c>
      <c r="L233" s="9">
        <f t="shared" si="9"/>
        <v>697</v>
      </c>
      <c r="M233" s="9">
        <f t="shared" si="10"/>
        <v>453.05</v>
      </c>
      <c r="N233" s="9">
        <f t="shared" si="11"/>
        <v>243.95</v>
      </c>
    </row>
    <row r="234" spans="1:14">
      <c r="A234" s="2" t="s">
        <v>435</v>
      </c>
      <c r="B234" s="3">
        <v>45461</v>
      </c>
      <c r="C234" s="2" t="s">
        <v>15</v>
      </c>
      <c r="D234" s="2" t="s">
        <v>16</v>
      </c>
      <c r="E234" s="2" t="s">
        <v>42</v>
      </c>
      <c r="F234" s="2" t="s">
        <v>199</v>
      </c>
      <c r="G234" s="2" t="s">
        <v>114</v>
      </c>
      <c r="H234" s="2" t="s">
        <v>45</v>
      </c>
      <c r="I234" s="4">
        <v>2</v>
      </c>
      <c r="J234" s="4">
        <v>330</v>
      </c>
      <c r="K234" s="4">
        <v>5</v>
      </c>
      <c r="L234" s="5">
        <f t="shared" si="9"/>
        <v>627</v>
      </c>
      <c r="M234" s="5">
        <f t="shared" si="10"/>
        <v>407.55</v>
      </c>
      <c r="N234" s="5">
        <f t="shared" si="11"/>
        <v>219.45</v>
      </c>
    </row>
    <row r="235" spans="1:14">
      <c r="A235" s="6" t="s">
        <v>436</v>
      </c>
      <c r="B235" s="7">
        <v>45461</v>
      </c>
      <c r="C235" s="6" t="s">
        <v>22</v>
      </c>
      <c r="D235" s="6" t="s">
        <v>23</v>
      </c>
      <c r="E235" s="6" t="s">
        <v>35</v>
      </c>
      <c r="F235" s="6" t="s">
        <v>50</v>
      </c>
      <c r="G235" s="6" t="s">
        <v>190</v>
      </c>
      <c r="H235" s="6" t="s">
        <v>20</v>
      </c>
      <c r="I235" s="8">
        <v>3</v>
      </c>
      <c r="J235" s="8">
        <v>270</v>
      </c>
      <c r="K235" s="8">
        <v>15</v>
      </c>
      <c r="L235" s="9">
        <f t="shared" si="9"/>
        <v>688.5</v>
      </c>
      <c r="M235" s="9">
        <f t="shared" si="10"/>
        <v>447.52500000000003</v>
      </c>
      <c r="N235" s="9">
        <f t="shared" si="11"/>
        <v>240.97499999999997</v>
      </c>
    </row>
    <row r="236" spans="1:14">
      <c r="A236" s="2" t="s">
        <v>437</v>
      </c>
      <c r="B236" s="3">
        <v>45461</v>
      </c>
      <c r="C236" s="2" t="s">
        <v>33</v>
      </c>
      <c r="D236" s="2" t="s">
        <v>34</v>
      </c>
      <c r="E236" s="2" t="s">
        <v>24</v>
      </c>
      <c r="F236" s="2" t="s">
        <v>39</v>
      </c>
      <c r="G236" s="2" t="s">
        <v>438</v>
      </c>
      <c r="H236" s="2" t="s">
        <v>45</v>
      </c>
      <c r="I236" s="4">
        <v>1</v>
      </c>
      <c r="J236" s="4">
        <v>1100</v>
      </c>
      <c r="K236" s="4">
        <v>5</v>
      </c>
      <c r="L236" s="5">
        <f t="shared" si="9"/>
        <v>1045</v>
      </c>
      <c r="M236" s="5">
        <f t="shared" si="10"/>
        <v>679.25</v>
      </c>
      <c r="N236" s="5">
        <f t="shared" si="11"/>
        <v>365.75</v>
      </c>
    </row>
    <row r="237" spans="1:14">
      <c r="A237" s="6" t="s">
        <v>439</v>
      </c>
      <c r="B237" s="7">
        <v>45462</v>
      </c>
      <c r="C237" s="6" t="s">
        <v>28</v>
      </c>
      <c r="D237" s="6" t="s">
        <v>29</v>
      </c>
      <c r="E237" s="6" t="s">
        <v>24</v>
      </c>
      <c r="F237" s="6" t="s">
        <v>83</v>
      </c>
      <c r="G237" s="6" t="s">
        <v>394</v>
      </c>
      <c r="H237" s="6" t="s">
        <v>45</v>
      </c>
      <c r="I237" s="8">
        <v>4</v>
      </c>
      <c r="J237" s="8">
        <v>560</v>
      </c>
      <c r="K237" s="8">
        <v>5</v>
      </c>
      <c r="L237" s="9">
        <f t="shared" si="9"/>
        <v>2128</v>
      </c>
      <c r="M237" s="9">
        <f t="shared" si="10"/>
        <v>1383.2</v>
      </c>
      <c r="N237" s="9">
        <f t="shared" si="11"/>
        <v>744.8</v>
      </c>
    </row>
    <row r="238" spans="1:14">
      <c r="A238" s="2" t="s">
        <v>440</v>
      </c>
      <c r="B238" s="3">
        <v>45463</v>
      </c>
      <c r="C238" s="2" t="s">
        <v>107</v>
      </c>
      <c r="D238" s="2" t="s">
        <v>108</v>
      </c>
      <c r="E238" s="2" t="s">
        <v>24</v>
      </c>
      <c r="F238" s="2" t="s">
        <v>125</v>
      </c>
      <c r="G238" s="2" t="s">
        <v>441</v>
      </c>
      <c r="H238" s="2" t="s">
        <v>20</v>
      </c>
      <c r="I238" s="4">
        <v>1</v>
      </c>
      <c r="J238" s="4">
        <v>480</v>
      </c>
      <c r="K238" s="4">
        <v>15</v>
      </c>
      <c r="L238" s="5">
        <f t="shared" si="9"/>
        <v>408</v>
      </c>
      <c r="M238" s="5">
        <f t="shared" si="10"/>
        <v>265.2</v>
      </c>
      <c r="N238" s="5">
        <f t="shared" si="11"/>
        <v>142.80000000000001</v>
      </c>
    </row>
    <row r="239" spans="1:14">
      <c r="A239" s="6" t="s">
        <v>442</v>
      </c>
      <c r="B239" s="7">
        <v>45465</v>
      </c>
      <c r="C239" s="6" t="s">
        <v>15</v>
      </c>
      <c r="D239" s="6" t="s">
        <v>16</v>
      </c>
      <c r="E239" s="6" t="s">
        <v>35</v>
      </c>
      <c r="F239" s="6" t="s">
        <v>182</v>
      </c>
      <c r="G239" s="6" t="s">
        <v>316</v>
      </c>
      <c r="H239" s="6" t="s">
        <v>52</v>
      </c>
      <c r="I239" s="8">
        <v>3</v>
      </c>
      <c r="J239" s="8">
        <v>460</v>
      </c>
      <c r="K239" s="8">
        <v>15</v>
      </c>
      <c r="L239" s="9">
        <f t="shared" si="9"/>
        <v>1173</v>
      </c>
      <c r="M239" s="9">
        <f t="shared" si="10"/>
        <v>762.45</v>
      </c>
      <c r="N239" s="9">
        <f t="shared" si="11"/>
        <v>410.54999999999995</v>
      </c>
    </row>
    <row r="240" spans="1:14">
      <c r="A240" s="2" t="s">
        <v>443</v>
      </c>
      <c r="B240" s="3">
        <v>45465</v>
      </c>
      <c r="C240" s="2" t="s">
        <v>15</v>
      </c>
      <c r="D240" s="2" t="s">
        <v>16</v>
      </c>
      <c r="E240" s="2" t="s">
        <v>35</v>
      </c>
      <c r="F240" s="2" t="s">
        <v>60</v>
      </c>
      <c r="G240" s="2" t="s">
        <v>164</v>
      </c>
      <c r="H240" s="2" t="s">
        <v>20</v>
      </c>
      <c r="I240" s="4">
        <v>3</v>
      </c>
      <c r="J240" s="4">
        <v>760</v>
      </c>
      <c r="K240" s="4">
        <v>10</v>
      </c>
      <c r="L240" s="5">
        <f t="shared" si="9"/>
        <v>2052</v>
      </c>
      <c r="M240" s="5">
        <f t="shared" si="10"/>
        <v>1333.8</v>
      </c>
      <c r="N240" s="5">
        <f t="shared" si="11"/>
        <v>718.2</v>
      </c>
    </row>
    <row r="241" spans="1:14">
      <c r="A241" s="6" t="s">
        <v>444</v>
      </c>
      <c r="B241" s="7">
        <v>45466</v>
      </c>
      <c r="C241" s="6" t="s">
        <v>28</v>
      </c>
      <c r="D241" s="6" t="s">
        <v>29</v>
      </c>
      <c r="E241" s="6" t="s">
        <v>24</v>
      </c>
      <c r="F241" s="6" t="s">
        <v>39</v>
      </c>
      <c r="G241" s="6" t="s">
        <v>148</v>
      </c>
      <c r="H241" s="6" t="s">
        <v>45</v>
      </c>
      <c r="I241" s="8">
        <v>3</v>
      </c>
      <c r="J241" s="8">
        <v>1320</v>
      </c>
      <c r="K241" s="8">
        <v>0</v>
      </c>
      <c r="L241" s="9">
        <f t="shared" si="9"/>
        <v>3960</v>
      </c>
      <c r="M241" s="9">
        <f t="shared" si="10"/>
        <v>2574</v>
      </c>
      <c r="N241" s="9">
        <f t="shared" si="11"/>
        <v>1386</v>
      </c>
    </row>
    <row r="242" spans="1:14">
      <c r="A242" s="2" t="s">
        <v>445</v>
      </c>
      <c r="B242" s="3">
        <v>45467</v>
      </c>
      <c r="C242" s="2" t="s">
        <v>15</v>
      </c>
      <c r="D242" s="2" t="s">
        <v>16</v>
      </c>
      <c r="E242" s="2" t="s">
        <v>24</v>
      </c>
      <c r="F242" s="2" t="s">
        <v>125</v>
      </c>
      <c r="G242" s="2" t="s">
        <v>222</v>
      </c>
      <c r="H242" s="2" t="s">
        <v>52</v>
      </c>
      <c r="I242" s="4">
        <v>2</v>
      </c>
      <c r="J242" s="4">
        <v>470</v>
      </c>
      <c r="K242" s="4">
        <v>20</v>
      </c>
      <c r="L242" s="5">
        <f t="shared" si="9"/>
        <v>752</v>
      </c>
      <c r="M242" s="5">
        <f t="shared" si="10"/>
        <v>488.8</v>
      </c>
      <c r="N242" s="5">
        <f t="shared" si="11"/>
        <v>263.2</v>
      </c>
    </row>
    <row r="243" spans="1:14">
      <c r="A243" s="6" t="s">
        <v>446</v>
      </c>
      <c r="B243" s="7">
        <v>45467</v>
      </c>
      <c r="C243" s="6" t="s">
        <v>107</v>
      </c>
      <c r="D243" s="6" t="s">
        <v>108</v>
      </c>
      <c r="E243" s="6" t="s">
        <v>42</v>
      </c>
      <c r="F243" s="6" t="s">
        <v>47</v>
      </c>
      <c r="G243" s="6" t="s">
        <v>123</v>
      </c>
      <c r="H243" s="6" t="s">
        <v>45</v>
      </c>
      <c r="I243" s="8">
        <v>1</v>
      </c>
      <c r="J243" s="8">
        <v>980</v>
      </c>
      <c r="K243" s="8">
        <v>5</v>
      </c>
      <c r="L243" s="9">
        <f t="shared" si="9"/>
        <v>931</v>
      </c>
      <c r="M243" s="9">
        <f t="shared" si="10"/>
        <v>605.15</v>
      </c>
      <c r="N243" s="9">
        <f t="shared" si="11"/>
        <v>325.85000000000002</v>
      </c>
    </row>
    <row r="244" spans="1:14">
      <c r="A244" s="2" t="s">
        <v>447</v>
      </c>
      <c r="B244" s="3">
        <v>45468</v>
      </c>
      <c r="C244" s="2" t="s">
        <v>107</v>
      </c>
      <c r="D244" s="2" t="s">
        <v>108</v>
      </c>
      <c r="E244" s="2" t="s">
        <v>42</v>
      </c>
      <c r="F244" s="2" t="s">
        <v>217</v>
      </c>
      <c r="G244" s="2" t="s">
        <v>58</v>
      </c>
      <c r="H244" s="2" t="s">
        <v>20</v>
      </c>
      <c r="I244" s="4">
        <v>3</v>
      </c>
      <c r="J244" s="4">
        <v>600</v>
      </c>
      <c r="K244" s="4">
        <v>5</v>
      </c>
      <c r="L244" s="5">
        <f t="shared" si="9"/>
        <v>1710</v>
      </c>
      <c r="M244" s="5">
        <f t="shared" si="10"/>
        <v>1111.5</v>
      </c>
      <c r="N244" s="5">
        <f t="shared" si="11"/>
        <v>598.5</v>
      </c>
    </row>
    <row r="245" spans="1:14">
      <c r="A245" s="6" t="s">
        <v>448</v>
      </c>
      <c r="B245" s="7">
        <v>45468</v>
      </c>
      <c r="C245" s="6" t="s">
        <v>15</v>
      </c>
      <c r="D245" s="6" t="s">
        <v>16</v>
      </c>
      <c r="E245" s="6" t="s">
        <v>42</v>
      </c>
      <c r="F245" s="6" t="s">
        <v>43</v>
      </c>
      <c r="G245" s="6" t="s">
        <v>441</v>
      </c>
      <c r="H245" s="6" t="s">
        <v>45</v>
      </c>
      <c r="I245" s="8">
        <v>2</v>
      </c>
      <c r="J245" s="8">
        <v>3840</v>
      </c>
      <c r="K245" s="8">
        <v>0</v>
      </c>
      <c r="L245" s="9">
        <f t="shared" si="9"/>
        <v>7680</v>
      </c>
      <c r="M245" s="9">
        <f t="shared" si="10"/>
        <v>4992</v>
      </c>
      <c r="N245" s="9">
        <f t="shared" si="11"/>
        <v>2688</v>
      </c>
    </row>
    <row r="246" spans="1:14">
      <c r="A246" s="2" t="s">
        <v>449</v>
      </c>
      <c r="B246" s="3">
        <v>45468</v>
      </c>
      <c r="C246" s="2" t="s">
        <v>15</v>
      </c>
      <c r="D246" s="2" t="s">
        <v>16</v>
      </c>
      <c r="E246" s="2" t="s">
        <v>35</v>
      </c>
      <c r="F246" s="2" t="s">
        <v>182</v>
      </c>
      <c r="G246" s="2" t="s">
        <v>450</v>
      </c>
      <c r="H246" s="2" t="s">
        <v>45</v>
      </c>
      <c r="I246" s="4">
        <v>4</v>
      </c>
      <c r="J246" s="4">
        <v>480</v>
      </c>
      <c r="K246" s="4">
        <v>0</v>
      </c>
      <c r="L246" s="5">
        <f t="shared" si="9"/>
        <v>1920</v>
      </c>
      <c r="M246" s="5">
        <f t="shared" si="10"/>
        <v>1248</v>
      </c>
      <c r="N246" s="5">
        <f t="shared" si="11"/>
        <v>672</v>
      </c>
    </row>
    <row r="247" spans="1:14">
      <c r="A247" s="6" t="s">
        <v>451</v>
      </c>
      <c r="B247" s="7">
        <v>45468</v>
      </c>
      <c r="C247" s="6" t="s">
        <v>28</v>
      </c>
      <c r="D247" s="6" t="s">
        <v>29</v>
      </c>
      <c r="E247" s="6" t="s">
        <v>17</v>
      </c>
      <c r="F247" s="6" t="s">
        <v>206</v>
      </c>
      <c r="G247" s="6" t="s">
        <v>187</v>
      </c>
      <c r="H247" s="6" t="s">
        <v>20</v>
      </c>
      <c r="I247" s="8">
        <v>1</v>
      </c>
      <c r="J247" s="8">
        <v>100</v>
      </c>
      <c r="K247" s="8">
        <v>10</v>
      </c>
      <c r="L247" s="9">
        <f t="shared" si="9"/>
        <v>90</v>
      </c>
      <c r="M247" s="9">
        <f t="shared" si="10"/>
        <v>58.5</v>
      </c>
      <c r="N247" s="9">
        <f t="shared" si="11"/>
        <v>31.5</v>
      </c>
    </row>
    <row r="248" spans="1:14">
      <c r="A248" s="2" t="s">
        <v>452</v>
      </c>
      <c r="B248" s="3">
        <v>45468</v>
      </c>
      <c r="C248" s="2" t="s">
        <v>33</v>
      </c>
      <c r="D248" s="2" t="s">
        <v>34</v>
      </c>
      <c r="E248" s="2" t="s">
        <v>24</v>
      </c>
      <c r="F248" s="2" t="s">
        <v>66</v>
      </c>
      <c r="G248" s="2" t="s">
        <v>203</v>
      </c>
      <c r="H248" s="2" t="s">
        <v>20</v>
      </c>
      <c r="I248" s="4">
        <v>1</v>
      </c>
      <c r="J248" s="4">
        <v>680</v>
      </c>
      <c r="K248" s="4">
        <v>5</v>
      </c>
      <c r="L248" s="5">
        <f t="shared" si="9"/>
        <v>646</v>
      </c>
      <c r="M248" s="5">
        <f t="shared" si="10"/>
        <v>419.90000000000003</v>
      </c>
      <c r="N248" s="5">
        <f t="shared" si="11"/>
        <v>226.09999999999997</v>
      </c>
    </row>
    <row r="249" spans="1:14">
      <c r="A249" s="6" t="s">
        <v>453</v>
      </c>
      <c r="B249" s="7">
        <v>45470</v>
      </c>
      <c r="C249" s="6" t="s">
        <v>33</v>
      </c>
      <c r="D249" s="6" t="s">
        <v>34</v>
      </c>
      <c r="E249" s="6" t="s">
        <v>17</v>
      </c>
      <c r="F249" s="6" t="s">
        <v>18</v>
      </c>
      <c r="G249" s="6" t="s">
        <v>236</v>
      </c>
      <c r="H249" s="6" t="s">
        <v>20</v>
      </c>
      <c r="I249" s="8">
        <v>2</v>
      </c>
      <c r="J249" s="8">
        <v>320</v>
      </c>
      <c r="K249" s="8">
        <v>10</v>
      </c>
      <c r="L249" s="9">
        <f t="shared" si="9"/>
        <v>576</v>
      </c>
      <c r="M249" s="9">
        <f t="shared" si="10"/>
        <v>374.40000000000003</v>
      </c>
      <c r="N249" s="9">
        <f t="shared" si="11"/>
        <v>201.59999999999997</v>
      </c>
    </row>
    <row r="250" spans="1:14">
      <c r="A250" s="2" t="s">
        <v>454</v>
      </c>
      <c r="B250" s="3">
        <v>45471</v>
      </c>
      <c r="C250" s="2" t="s">
        <v>15</v>
      </c>
      <c r="D250" s="2" t="s">
        <v>16</v>
      </c>
      <c r="E250" s="2" t="s">
        <v>24</v>
      </c>
      <c r="F250" s="2" t="s">
        <v>71</v>
      </c>
      <c r="G250" s="2" t="s">
        <v>434</v>
      </c>
      <c r="H250" s="2" t="s">
        <v>45</v>
      </c>
      <c r="I250" s="4">
        <v>3</v>
      </c>
      <c r="J250" s="4">
        <v>910</v>
      </c>
      <c r="K250" s="4">
        <v>0</v>
      </c>
      <c r="L250" s="5">
        <f t="shared" si="9"/>
        <v>2730</v>
      </c>
      <c r="M250" s="5">
        <f t="shared" si="10"/>
        <v>1774.5</v>
      </c>
      <c r="N250" s="5">
        <f t="shared" si="11"/>
        <v>955.5</v>
      </c>
    </row>
    <row r="251" spans="1:14">
      <c r="A251" s="6" t="s">
        <v>455</v>
      </c>
      <c r="B251" s="7">
        <v>45471</v>
      </c>
      <c r="C251" s="6" t="s">
        <v>22</v>
      </c>
      <c r="D251" s="6" t="s">
        <v>23</v>
      </c>
      <c r="E251" s="6" t="s">
        <v>17</v>
      </c>
      <c r="F251" s="6" t="s">
        <v>80</v>
      </c>
      <c r="G251" s="6" t="s">
        <v>297</v>
      </c>
      <c r="H251" s="6" t="s">
        <v>45</v>
      </c>
      <c r="I251" s="8">
        <v>2</v>
      </c>
      <c r="J251" s="8">
        <v>120</v>
      </c>
      <c r="K251" s="8">
        <v>10</v>
      </c>
      <c r="L251" s="9">
        <f t="shared" si="9"/>
        <v>216</v>
      </c>
      <c r="M251" s="9">
        <f t="shared" si="10"/>
        <v>140.4</v>
      </c>
      <c r="N251" s="9">
        <f t="shared" si="11"/>
        <v>75.599999999999994</v>
      </c>
    </row>
    <row r="252" spans="1:14">
      <c r="A252" s="2" t="s">
        <v>456</v>
      </c>
      <c r="B252" s="3">
        <v>45472</v>
      </c>
      <c r="C252" s="2" t="s">
        <v>28</v>
      </c>
      <c r="D252" s="2" t="s">
        <v>29</v>
      </c>
      <c r="E252" s="2" t="s">
        <v>17</v>
      </c>
      <c r="F252" s="2" t="s">
        <v>224</v>
      </c>
      <c r="G252" s="2" t="s">
        <v>185</v>
      </c>
      <c r="H252" s="2" t="s">
        <v>20</v>
      </c>
      <c r="I252" s="4">
        <v>1</v>
      </c>
      <c r="J252" s="4">
        <v>80</v>
      </c>
      <c r="K252" s="4">
        <v>15</v>
      </c>
      <c r="L252" s="5">
        <f t="shared" si="9"/>
        <v>68</v>
      </c>
      <c r="M252" s="5">
        <f t="shared" si="10"/>
        <v>44.2</v>
      </c>
      <c r="N252" s="5">
        <f t="shared" si="11"/>
        <v>23.799999999999997</v>
      </c>
    </row>
    <row r="253" spans="1:14">
      <c r="A253" s="6" t="s">
        <v>457</v>
      </c>
      <c r="B253" s="7">
        <v>45475</v>
      </c>
      <c r="C253" s="6" t="s">
        <v>33</v>
      </c>
      <c r="D253" s="6" t="s">
        <v>34</v>
      </c>
      <c r="E253" s="6" t="s">
        <v>17</v>
      </c>
      <c r="F253" s="6" t="s">
        <v>267</v>
      </c>
      <c r="G253" s="6" t="s">
        <v>458</v>
      </c>
      <c r="H253" s="6" t="s">
        <v>45</v>
      </c>
      <c r="I253" s="8">
        <v>4</v>
      </c>
      <c r="J253" s="8">
        <v>370</v>
      </c>
      <c r="K253" s="8">
        <v>0</v>
      </c>
      <c r="L253" s="9">
        <f t="shared" si="9"/>
        <v>1480</v>
      </c>
      <c r="M253" s="9">
        <f t="shared" si="10"/>
        <v>962</v>
      </c>
      <c r="N253" s="9">
        <f t="shared" si="11"/>
        <v>518</v>
      </c>
    </row>
    <row r="254" spans="1:14">
      <c r="A254" s="2" t="s">
        <v>459</v>
      </c>
      <c r="B254" s="3">
        <v>45475</v>
      </c>
      <c r="C254" s="2" t="s">
        <v>15</v>
      </c>
      <c r="D254" s="2" t="s">
        <v>16</v>
      </c>
      <c r="E254" s="2" t="s">
        <v>35</v>
      </c>
      <c r="F254" s="2" t="s">
        <v>36</v>
      </c>
      <c r="G254" s="2" t="s">
        <v>208</v>
      </c>
      <c r="H254" s="2" t="s">
        <v>52</v>
      </c>
      <c r="I254" s="4">
        <v>2</v>
      </c>
      <c r="J254" s="4">
        <v>230</v>
      </c>
      <c r="K254" s="4">
        <v>15</v>
      </c>
      <c r="L254" s="5">
        <f t="shared" si="9"/>
        <v>391</v>
      </c>
      <c r="M254" s="5">
        <f t="shared" si="10"/>
        <v>254.15</v>
      </c>
      <c r="N254" s="5">
        <f t="shared" si="11"/>
        <v>136.85</v>
      </c>
    </row>
    <row r="255" spans="1:14">
      <c r="A255" s="6" t="s">
        <v>460</v>
      </c>
      <c r="B255" s="7">
        <v>45475</v>
      </c>
      <c r="C255" s="6" t="s">
        <v>28</v>
      </c>
      <c r="D255" s="6" t="s">
        <v>29</v>
      </c>
      <c r="E255" s="6" t="s">
        <v>35</v>
      </c>
      <c r="F255" s="6" t="s">
        <v>109</v>
      </c>
      <c r="G255" s="6" t="s">
        <v>89</v>
      </c>
      <c r="H255" s="6" t="s">
        <v>20</v>
      </c>
      <c r="I255" s="8">
        <v>1</v>
      </c>
      <c r="J255" s="8">
        <v>490</v>
      </c>
      <c r="K255" s="8">
        <v>5</v>
      </c>
      <c r="L255" s="9">
        <f t="shared" si="9"/>
        <v>465.5</v>
      </c>
      <c r="M255" s="9">
        <f t="shared" si="10"/>
        <v>302.57499999999999</v>
      </c>
      <c r="N255" s="9">
        <f t="shared" si="11"/>
        <v>162.92500000000001</v>
      </c>
    </row>
    <row r="256" spans="1:14">
      <c r="A256" s="2" t="s">
        <v>461</v>
      </c>
      <c r="B256" s="3">
        <v>45475</v>
      </c>
      <c r="C256" s="2" t="s">
        <v>107</v>
      </c>
      <c r="D256" s="2" t="s">
        <v>108</v>
      </c>
      <c r="E256" s="2" t="s">
        <v>24</v>
      </c>
      <c r="F256" s="2" t="s">
        <v>25</v>
      </c>
      <c r="G256" s="2" t="s">
        <v>316</v>
      </c>
      <c r="H256" s="2" t="s">
        <v>20</v>
      </c>
      <c r="I256" s="4">
        <v>1</v>
      </c>
      <c r="J256" s="4">
        <v>680</v>
      </c>
      <c r="K256" s="4">
        <v>15</v>
      </c>
      <c r="L256" s="5">
        <f t="shared" si="9"/>
        <v>578</v>
      </c>
      <c r="M256" s="5">
        <f t="shared" si="10"/>
        <v>375.7</v>
      </c>
      <c r="N256" s="5">
        <f t="shared" si="11"/>
        <v>202.3</v>
      </c>
    </row>
    <row r="257" spans="1:14">
      <c r="A257" s="6" t="s">
        <v>462</v>
      </c>
      <c r="B257" s="7">
        <v>45476</v>
      </c>
      <c r="C257" s="6" t="s">
        <v>15</v>
      </c>
      <c r="D257" s="6" t="s">
        <v>16</v>
      </c>
      <c r="E257" s="6" t="s">
        <v>35</v>
      </c>
      <c r="F257" s="6" t="s">
        <v>36</v>
      </c>
      <c r="G257" s="6" t="s">
        <v>225</v>
      </c>
      <c r="H257" s="6" t="s">
        <v>52</v>
      </c>
      <c r="I257" s="8">
        <v>4</v>
      </c>
      <c r="J257" s="8">
        <v>240</v>
      </c>
      <c r="K257" s="8">
        <v>20</v>
      </c>
      <c r="L257" s="9">
        <f t="shared" si="9"/>
        <v>768</v>
      </c>
      <c r="M257" s="9">
        <f t="shared" si="10"/>
        <v>499.20000000000005</v>
      </c>
      <c r="N257" s="9">
        <f t="shared" si="11"/>
        <v>268.79999999999995</v>
      </c>
    </row>
    <row r="258" spans="1:14">
      <c r="A258" s="2" t="s">
        <v>463</v>
      </c>
      <c r="B258" s="3">
        <v>45480</v>
      </c>
      <c r="C258" s="2" t="s">
        <v>33</v>
      </c>
      <c r="D258" s="2" t="s">
        <v>34</v>
      </c>
      <c r="E258" s="2" t="s">
        <v>42</v>
      </c>
      <c r="F258" s="2" t="s">
        <v>43</v>
      </c>
      <c r="G258" s="2" t="s">
        <v>44</v>
      </c>
      <c r="H258" s="2" t="s">
        <v>20</v>
      </c>
      <c r="I258" s="4">
        <v>2</v>
      </c>
      <c r="J258" s="4">
        <v>3580</v>
      </c>
      <c r="K258" s="4">
        <v>15</v>
      </c>
      <c r="L258" s="5">
        <f t="shared" ref="L258:L321" si="12">I258*J258*(1-K258/100)</f>
        <v>6086</v>
      </c>
      <c r="M258" s="5">
        <f t="shared" ref="M258:M321" si="13">L258*0.65</f>
        <v>3955.9</v>
      </c>
      <c r="N258" s="5">
        <f t="shared" ref="N258:N321" si="14">L258-M258</f>
        <v>2130.1</v>
      </c>
    </row>
    <row r="259" spans="1:14">
      <c r="A259" s="6" t="s">
        <v>464</v>
      </c>
      <c r="B259" s="7">
        <v>45480</v>
      </c>
      <c r="C259" s="6" t="s">
        <v>22</v>
      </c>
      <c r="D259" s="6" t="s">
        <v>23</v>
      </c>
      <c r="E259" s="6" t="s">
        <v>35</v>
      </c>
      <c r="F259" s="6" t="s">
        <v>57</v>
      </c>
      <c r="G259" s="6" t="s">
        <v>75</v>
      </c>
      <c r="H259" s="6" t="s">
        <v>20</v>
      </c>
      <c r="I259" s="8">
        <v>2</v>
      </c>
      <c r="J259" s="8">
        <v>950</v>
      </c>
      <c r="K259" s="8">
        <v>5</v>
      </c>
      <c r="L259" s="9">
        <f t="shared" si="12"/>
        <v>1805</v>
      </c>
      <c r="M259" s="9">
        <f t="shared" si="13"/>
        <v>1173.25</v>
      </c>
      <c r="N259" s="9">
        <f t="shared" si="14"/>
        <v>631.75</v>
      </c>
    </row>
    <row r="260" spans="1:14">
      <c r="A260" s="2" t="s">
        <v>465</v>
      </c>
      <c r="B260" s="3">
        <v>45480</v>
      </c>
      <c r="C260" s="2" t="s">
        <v>107</v>
      </c>
      <c r="D260" s="2" t="s">
        <v>108</v>
      </c>
      <c r="E260" s="2" t="s">
        <v>17</v>
      </c>
      <c r="F260" s="2" t="s">
        <v>224</v>
      </c>
      <c r="G260" s="2" t="s">
        <v>466</v>
      </c>
      <c r="H260" s="2" t="s">
        <v>20</v>
      </c>
      <c r="I260" s="4">
        <v>2</v>
      </c>
      <c r="J260" s="4">
        <v>90</v>
      </c>
      <c r="K260" s="4">
        <v>10</v>
      </c>
      <c r="L260" s="5">
        <f t="shared" si="12"/>
        <v>162</v>
      </c>
      <c r="M260" s="5">
        <f t="shared" si="13"/>
        <v>105.3</v>
      </c>
      <c r="N260" s="5">
        <f t="shared" si="14"/>
        <v>56.7</v>
      </c>
    </row>
    <row r="261" spans="1:14">
      <c r="A261" s="6" t="s">
        <v>467</v>
      </c>
      <c r="B261" s="7">
        <v>45481</v>
      </c>
      <c r="C261" s="6" t="s">
        <v>28</v>
      </c>
      <c r="D261" s="6" t="s">
        <v>29</v>
      </c>
      <c r="E261" s="6" t="s">
        <v>17</v>
      </c>
      <c r="F261" s="6" t="s">
        <v>80</v>
      </c>
      <c r="G261" s="6" t="s">
        <v>114</v>
      </c>
      <c r="H261" s="6" t="s">
        <v>20</v>
      </c>
      <c r="I261" s="8">
        <v>1</v>
      </c>
      <c r="J261" s="8">
        <v>130</v>
      </c>
      <c r="K261" s="8">
        <v>10</v>
      </c>
      <c r="L261" s="9">
        <f t="shared" si="12"/>
        <v>117</v>
      </c>
      <c r="M261" s="9">
        <f t="shared" si="13"/>
        <v>76.05</v>
      </c>
      <c r="N261" s="9">
        <f t="shared" si="14"/>
        <v>40.950000000000003</v>
      </c>
    </row>
    <row r="262" spans="1:14">
      <c r="A262" s="2" t="s">
        <v>468</v>
      </c>
      <c r="B262" s="3">
        <v>45483</v>
      </c>
      <c r="C262" s="2" t="s">
        <v>15</v>
      </c>
      <c r="D262" s="2" t="s">
        <v>16</v>
      </c>
      <c r="E262" s="2" t="s">
        <v>17</v>
      </c>
      <c r="F262" s="2" t="s">
        <v>30</v>
      </c>
      <c r="G262" s="2" t="s">
        <v>469</v>
      </c>
      <c r="H262" s="2" t="s">
        <v>20</v>
      </c>
      <c r="I262" s="4">
        <v>1</v>
      </c>
      <c r="J262" s="4">
        <v>220</v>
      </c>
      <c r="K262" s="4">
        <v>15</v>
      </c>
      <c r="L262" s="5">
        <f t="shared" si="12"/>
        <v>187</v>
      </c>
      <c r="M262" s="5">
        <f t="shared" si="13"/>
        <v>121.55</v>
      </c>
      <c r="N262" s="5">
        <f t="shared" si="14"/>
        <v>65.45</v>
      </c>
    </row>
    <row r="263" spans="1:14">
      <c r="A263" s="6" t="s">
        <v>470</v>
      </c>
      <c r="B263" s="7">
        <v>45483</v>
      </c>
      <c r="C263" s="6" t="s">
        <v>22</v>
      </c>
      <c r="D263" s="6" t="s">
        <v>23</v>
      </c>
      <c r="E263" s="6" t="s">
        <v>35</v>
      </c>
      <c r="F263" s="6" t="s">
        <v>57</v>
      </c>
      <c r="G263" s="6" t="s">
        <v>67</v>
      </c>
      <c r="H263" s="6" t="s">
        <v>45</v>
      </c>
      <c r="I263" s="8">
        <v>2</v>
      </c>
      <c r="J263" s="8">
        <v>820</v>
      </c>
      <c r="K263" s="8">
        <v>0</v>
      </c>
      <c r="L263" s="9">
        <f t="shared" si="12"/>
        <v>1640</v>
      </c>
      <c r="M263" s="9">
        <f t="shared" si="13"/>
        <v>1066</v>
      </c>
      <c r="N263" s="9">
        <f t="shared" si="14"/>
        <v>574</v>
      </c>
    </row>
    <row r="264" spans="1:14">
      <c r="A264" s="2" t="s">
        <v>471</v>
      </c>
      <c r="B264" s="3">
        <v>45484</v>
      </c>
      <c r="C264" s="2" t="s">
        <v>107</v>
      </c>
      <c r="D264" s="2" t="s">
        <v>108</v>
      </c>
      <c r="E264" s="2" t="s">
        <v>42</v>
      </c>
      <c r="F264" s="2" t="s">
        <v>43</v>
      </c>
      <c r="G264" s="2" t="s">
        <v>242</v>
      </c>
      <c r="H264" s="2" t="s">
        <v>52</v>
      </c>
      <c r="I264" s="4">
        <v>3</v>
      </c>
      <c r="J264" s="4">
        <v>3390</v>
      </c>
      <c r="K264" s="4">
        <v>15</v>
      </c>
      <c r="L264" s="5">
        <f t="shared" si="12"/>
        <v>8644.5</v>
      </c>
      <c r="M264" s="5">
        <f t="shared" si="13"/>
        <v>5618.9250000000002</v>
      </c>
      <c r="N264" s="5">
        <f t="shared" si="14"/>
        <v>3025.5749999999998</v>
      </c>
    </row>
    <row r="265" spans="1:14">
      <c r="A265" s="6" t="s">
        <v>472</v>
      </c>
      <c r="B265" s="7">
        <v>45485</v>
      </c>
      <c r="C265" s="6" t="s">
        <v>33</v>
      </c>
      <c r="D265" s="6" t="s">
        <v>34</v>
      </c>
      <c r="E265" s="6" t="s">
        <v>35</v>
      </c>
      <c r="F265" s="6" t="s">
        <v>182</v>
      </c>
      <c r="G265" s="6" t="s">
        <v>246</v>
      </c>
      <c r="H265" s="6" t="s">
        <v>20</v>
      </c>
      <c r="I265" s="8">
        <v>2</v>
      </c>
      <c r="J265" s="8">
        <v>530</v>
      </c>
      <c r="K265" s="8">
        <v>5</v>
      </c>
      <c r="L265" s="9">
        <f t="shared" si="12"/>
        <v>1007</v>
      </c>
      <c r="M265" s="9">
        <f t="shared" si="13"/>
        <v>654.55000000000007</v>
      </c>
      <c r="N265" s="9">
        <f t="shared" si="14"/>
        <v>352.44999999999993</v>
      </c>
    </row>
    <row r="266" spans="1:14">
      <c r="A266" s="2" t="s">
        <v>473</v>
      </c>
      <c r="B266" s="3">
        <v>45486</v>
      </c>
      <c r="C266" s="2" t="s">
        <v>33</v>
      </c>
      <c r="D266" s="2" t="s">
        <v>34</v>
      </c>
      <c r="E266" s="2" t="s">
        <v>35</v>
      </c>
      <c r="F266" s="2" t="s">
        <v>109</v>
      </c>
      <c r="G266" s="2" t="s">
        <v>67</v>
      </c>
      <c r="H266" s="2" t="s">
        <v>52</v>
      </c>
      <c r="I266" s="4">
        <v>1</v>
      </c>
      <c r="J266" s="4">
        <v>440</v>
      </c>
      <c r="K266" s="4">
        <v>15</v>
      </c>
      <c r="L266" s="5">
        <f t="shared" si="12"/>
        <v>374</v>
      </c>
      <c r="M266" s="5">
        <f t="shared" si="13"/>
        <v>243.1</v>
      </c>
      <c r="N266" s="5">
        <f t="shared" si="14"/>
        <v>130.9</v>
      </c>
    </row>
    <row r="267" spans="1:14">
      <c r="A267" s="6" t="s">
        <v>474</v>
      </c>
      <c r="B267" s="7">
        <v>45487</v>
      </c>
      <c r="C267" s="6" t="s">
        <v>22</v>
      </c>
      <c r="D267" s="6" t="s">
        <v>23</v>
      </c>
      <c r="E267" s="6" t="s">
        <v>17</v>
      </c>
      <c r="F267" s="6" t="s">
        <v>206</v>
      </c>
      <c r="G267" s="6" t="s">
        <v>359</v>
      </c>
      <c r="H267" s="6" t="s">
        <v>20</v>
      </c>
      <c r="I267" s="8">
        <v>3</v>
      </c>
      <c r="J267" s="8">
        <v>100</v>
      </c>
      <c r="K267" s="8">
        <v>10</v>
      </c>
      <c r="L267" s="9">
        <f t="shared" si="12"/>
        <v>270</v>
      </c>
      <c r="M267" s="9">
        <f t="shared" si="13"/>
        <v>175.5</v>
      </c>
      <c r="N267" s="9">
        <f t="shared" si="14"/>
        <v>94.5</v>
      </c>
    </row>
    <row r="268" spans="1:14">
      <c r="A268" s="2" t="s">
        <v>475</v>
      </c>
      <c r="B268" s="3">
        <v>45488</v>
      </c>
      <c r="C268" s="2" t="s">
        <v>33</v>
      </c>
      <c r="D268" s="2" t="s">
        <v>34</v>
      </c>
      <c r="E268" s="2" t="s">
        <v>35</v>
      </c>
      <c r="F268" s="2" t="s">
        <v>109</v>
      </c>
      <c r="G268" s="2" t="s">
        <v>261</v>
      </c>
      <c r="H268" s="2" t="s">
        <v>45</v>
      </c>
      <c r="I268" s="4">
        <v>1</v>
      </c>
      <c r="J268" s="4">
        <v>480</v>
      </c>
      <c r="K268" s="4">
        <v>10</v>
      </c>
      <c r="L268" s="5">
        <f t="shared" si="12"/>
        <v>432</v>
      </c>
      <c r="M268" s="5">
        <f t="shared" si="13"/>
        <v>280.8</v>
      </c>
      <c r="N268" s="5">
        <f t="shared" si="14"/>
        <v>151.19999999999999</v>
      </c>
    </row>
    <row r="269" spans="1:14">
      <c r="A269" s="6" t="s">
        <v>476</v>
      </c>
      <c r="B269" s="7">
        <v>45489</v>
      </c>
      <c r="C269" s="6" t="s">
        <v>22</v>
      </c>
      <c r="D269" s="6" t="s">
        <v>23</v>
      </c>
      <c r="E269" s="6" t="s">
        <v>35</v>
      </c>
      <c r="F269" s="6" t="s">
        <v>95</v>
      </c>
      <c r="G269" s="6" t="s">
        <v>428</v>
      </c>
      <c r="H269" s="6" t="s">
        <v>20</v>
      </c>
      <c r="I269" s="8">
        <v>1</v>
      </c>
      <c r="J269" s="8">
        <v>420</v>
      </c>
      <c r="K269" s="8">
        <v>5</v>
      </c>
      <c r="L269" s="9">
        <f t="shared" si="12"/>
        <v>399</v>
      </c>
      <c r="M269" s="9">
        <f t="shared" si="13"/>
        <v>259.35000000000002</v>
      </c>
      <c r="N269" s="9">
        <f t="shared" si="14"/>
        <v>139.64999999999998</v>
      </c>
    </row>
    <row r="270" spans="1:14">
      <c r="A270" s="2" t="s">
        <v>477</v>
      </c>
      <c r="B270" s="3">
        <v>45490</v>
      </c>
      <c r="C270" s="2" t="s">
        <v>28</v>
      </c>
      <c r="D270" s="2" t="s">
        <v>29</v>
      </c>
      <c r="E270" s="2" t="s">
        <v>17</v>
      </c>
      <c r="F270" s="2" t="s">
        <v>267</v>
      </c>
      <c r="G270" s="2" t="s">
        <v>478</v>
      </c>
      <c r="H270" s="2" t="s">
        <v>45</v>
      </c>
      <c r="I270" s="4">
        <v>4</v>
      </c>
      <c r="J270" s="4">
        <v>320</v>
      </c>
      <c r="K270" s="4">
        <v>5</v>
      </c>
      <c r="L270" s="5">
        <f t="shared" si="12"/>
        <v>1216</v>
      </c>
      <c r="M270" s="5">
        <f t="shared" si="13"/>
        <v>790.4</v>
      </c>
      <c r="N270" s="5">
        <f t="shared" si="14"/>
        <v>425.6</v>
      </c>
    </row>
    <row r="271" spans="1:14">
      <c r="A271" s="6" t="s">
        <v>479</v>
      </c>
      <c r="B271" s="7">
        <v>45492</v>
      </c>
      <c r="C271" s="6" t="s">
        <v>107</v>
      </c>
      <c r="D271" s="6" t="s">
        <v>108</v>
      </c>
      <c r="E271" s="6" t="s">
        <v>17</v>
      </c>
      <c r="F271" s="6" t="s">
        <v>80</v>
      </c>
      <c r="G271" s="6" t="s">
        <v>432</v>
      </c>
      <c r="H271" s="6" t="s">
        <v>45</v>
      </c>
      <c r="I271" s="8">
        <v>1</v>
      </c>
      <c r="J271" s="8">
        <v>130</v>
      </c>
      <c r="K271" s="8">
        <v>0</v>
      </c>
      <c r="L271" s="9">
        <f t="shared" si="12"/>
        <v>130</v>
      </c>
      <c r="M271" s="9">
        <f t="shared" si="13"/>
        <v>84.5</v>
      </c>
      <c r="N271" s="9">
        <f t="shared" si="14"/>
        <v>45.5</v>
      </c>
    </row>
    <row r="272" spans="1:14">
      <c r="A272" s="2" t="s">
        <v>480</v>
      </c>
      <c r="B272" s="3">
        <v>45493</v>
      </c>
      <c r="C272" s="2" t="s">
        <v>33</v>
      </c>
      <c r="D272" s="2" t="s">
        <v>34</v>
      </c>
      <c r="E272" s="2" t="s">
        <v>17</v>
      </c>
      <c r="F272" s="2" t="s">
        <v>102</v>
      </c>
      <c r="G272" s="2" t="s">
        <v>251</v>
      </c>
      <c r="H272" s="2" t="s">
        <v>20</v>
      </c>
      <c r="I272" s="4">
        <v>2</v>
      </c>
      <c r="J272" s="4">
        <v>210</v>
      </c>
      <c r="K272" s="4">
        <v>5</v>
      </c>
      <c r="L272" s="5">
        <f t="shared" si="12"/>
        <v>399</v>
      </c>
      <c r="M272" s="5">
        <f t="shared" si="13"/>
        <v>259.35000000000002</v>
      </c>
      <c r="N272" s="5">
        <f t="shared" si="14"/>
        <v>139.64999999999998</v>
      </c>
    </row>
    <row r="273" spans="1:14">
      <c r="A273" s="6" t="s">
        <v>481</v>
      </c>
      <c r="B273" s="7">
        <v>45494</v>
      </c>
      <c r="C273" s="6" t="s">
        <v>22</v>
      </c>
      <c r="D273" s="6" t="s">
        <v>23</v>
      </c>
      <c r="E273" s="6" t="s">
        <v>42</v>
      </c>
      <c r="F273" s="6" t="s">
        <v>199</v>
      </c>
      <c r="G273" s="6" t="s">
        <v>110</v>
      </c>
      <c r="H273" s="6" t="s">
        <v>45</v>
      </c>
      <c r="I273" s="8">
        <v>2</v>
      </c>
      <c r="J273" s="8">
        <v>330</v>
      </c>
      <c r="K273" s="8">
        <v>5</v>
      </c>
      <c r="L273" s="9">
        <f t="shared" si="12"/>
        <v>627</v>
      </c>
      <c r="M273" s="9">
        <f t="shared" si="13"/>
        <v>407.55</v>
      </c>
      <c r="N273" s="9">
        <f t="shared" si="14"/>
        <v>219.45</v>
      </c>
    </row>
    <row r="274" spans="1:14">
      <c r="A274" s="2" t="s">
        <v>482</v>
      </c>
      <c r="B274" s="3">
        <v>45495</v>
      </c>
      <c r="C274" s="2" t="s">
        <v>107</v>
      </c>
      <c r="D274" s="2" t="s">
        <v>108</v>
      </c>
      <c r="E274" s="2" t="s">
        <v>42</v>
      </c>
      <c r="F274" s="2" t="s">
        <v>113</v>
      </c>
      <c r="G274" s="2" t="s">
        <v>160</v>
      </c>
      <c r="H274" s="2" t="s">
        <v>20</v>
      </c>
      <c r="I274" s="4">
        <v>2</v>
      </c>
      <c r="J274" s="4">
        <v>740</v>
      </c>
      <c r="K274" s="4">
        <v>5</v>
      </c>
      <c r="L274" s="5">
        <f t="shared" si="12"/>
        <v>1406</v>
      </c>
      <c r="M274" s="5">
        <f t="shared" si="13"/>
        <v>913.9</v>
      </c>
      <c r="N274" s="5">
        <f t="shared" si="14"/>
        <v>492.1</v>
      </c>
    </row>
    <row r="275" spans="1:14">
      <c r="A275" s="6" t="s">
        <v>483</v>
      </c>
      <c r="B275" s="7">
        <v>45495</v>
      </c>
      <c r="C275" s="6" t="s">
        <v>33</v>
      </c>
      <c r="D275" s="6" t="s">
        <v>34</v>
      </c>
      <c r="E275" s="6" t="s">
        <v>42</v>
      </c>
      <c r="F275" s="6" t="s">
        <v>199</v>
      </c>
      <c r="G275" s="6" t="s">
        <v>126</v>
      </c>
      <c r="H275" s="6" t="s">
        <v>20</v>
      </c>
      <c r="I275" s="8">
        <v>1</v>
      </c>
      <c r="J275" s="8">
        <v>370</v>
      </c>
      <c r="K275" s="8">
        <v>10</v>
      </c>
      <c r="L275" s="9">
        <f t="shared" si="12"/>
        <v>333</v>
      </c>
      <c r="M275" s="9">
        <f t="shared" si="13"/>
        <v>216.45000000000002</v>
      </c>
      <c r="N275" s="9">
        <f t="shared" si="14"/>
        <v>116.54999999999998</v>
      </c>
    </row>
    <row r="276" spans="1:14">
      <c r="A276" s="2" t="s">
        <v>484</v>
      </c>
      <c r="B276" s="3">
        <v>45495</v>
      </c>
      <c r="C276" s="2" t="s">
        <v>22</v>
      </c>
      <c r="D276" s="2" t="s">
        <v>23</v>
      </c>
      <c r="E276" s="2" t="s">
        <v>42</v>
      </c>
      <c r="F276" s="2" t="s">
        <v>121</v>
      </c>
      <c r="G276" s="2" t="s">
        <v>485</v>
      </c>
      <c r="H276" s="2" t="s">
        <v>52</v>
      </c>
      <c r="I276" s="4">
        <v>3</v>
      </c>
      <c r="J276" s="4">
        <v>1900</v>
      </c>
      <c r="K276" s="4">
        <v>20</v>
      </c>
      <c r="L276" s="5">
        <f t="shared" si="12"/>
        <v>4560</v>
      </c>
      <c r="M276" s="5">
        <f t="shared" si="13"/>
        <v>2964</v>
      </c>
      <c r="N276" s="5">
        <f t="shared" si="14"/>
        <v>1596</v>
      </c>
    </row>
    <row r="277" spans="1:14">
      <c r="A277" s="6" t="s">
        <v>486</v>
      </c>
      <c r="B277" s="7">
        <v>45497</v>
      </c>
      <c r="C277" s="6" t="s">
        <v>15</v>
      </c>
      <c r="D277" s="6" t="s">
        <v>16</v>
      </c>
      <c r="E277" s="6" t="s">
        <v>24</v>
      </c>
      <c r="F277" s="6" t="s">
        <v>25</v>
      </c>
      <c r="G277" s="6" t="s">
        <v>487</v>
      </c>
      <c r="H277" s="6" t="s">
        <v>45</v>
      </c>
      <c r="I277" s="8">
        <v>3</v>
      </c>
      <c r="J277" s="8">
        <v>670</v>
      </c>
      <c r="K277" s="8">
        <v>5</v>
      </c>
      <c r="L277" s="9">
        <f t="shared" si="12"/>
        <v>1909.5</v>
      </c>
      <c r="M277" s="9">
        <f t="shared" si="13"/>
        <v>1241.175</v>
      </c>
      <c r="N277" s="9">
        <f t="shared" si="14"/>
        <v>668.32500000000005</v>
      </c>
    </row>
    <row r="278" spans="1:14">
      <c r="A278" s="2" t="s">
        <v>488</v>
      </c>
      <c r="B278" s="3">
        <v>45497</v>
      </c>
      <c r="C278" s="2" t="s">
        <v>15</v>
      </c>
      <c r="D278" s="2" t="s">
        <v>16</v>
      </c>
      <c r="E278" s="2" t="s">
        <v>35</v>
      </c>
      <c r="F278" s="2" t="s">
        <v>95</v>
      </c>
      <c r="G278" s="2" t="s">
        <v>193</v>
      </c>
      <c r="H278" s="2" t="s">
        <v>20</v>
      </c>
      <c r="I278" s="4">
        <v>2</v>
      </c>
      <c r="J278" s="4">
        <v>420</v>
      </c>
      <c r="K278" s="4">
        <v>5</v>
      </c>
      <c r="L278" s="5">
        <f t="shared" si="12"/>
        <v>798</v>
      </c>
      <c r="M278" s="5">
        <f t="shared" si="13"/>
        <v>518.70000000000005</v>
      </c>
      <c r="N278" s="5">
        <f t="shared" si="14"/>
        <v>279.29999999999995</v>
      </c>
    </row>
    <row r="279" spans="1:14">
      <c r="A279" s="6" t="s">
        <v>489</v>
      </c>
      <c r="B279" s="7">
        <v>45498</v>
      </c>
      <c r="C279" s="6" t="s">
        <v>33</v>
      </c>
      <c r="D279" s="6" t="s">
        <v>34</v>
      </c>
      <c r="E279" s="6" t="s">
        <v>42</v>
      </c>
      <c r="F279" s="6" t="s">
        <v>47</v>
      </c>
      <c r="G279" s="6" t="s">
        <v>231</v>
      </c>
      <c r="H279" s="6" t="s">
        <v>45</v>
      </c>
      <c r="I279" s="8">
        <v>2</v>
      </c>
      <c r="J279" s="8">
        <v>910</v>
      </c>
      <c r="K279" s="8">
        <v>0</v>
      </c>
      <c r="L279" s="9">
        <f t="shared" si="12"/>
        <v>1820</v>
      </c>
      <c r="M279" s="9">
        <f t="shared" si="13"/>
        <v>1183</v>
      </c>
      <c r="N279" s="9">
        <f t="shared" si="14"/>
        <v>637</v>
      </c>
    </row>
    <row r="280" spans="1:14">
      <c r="A280" s="2" t="s">
        <v>490</v>
      </c>
      <c r="B280" s="3">
        <v>45498</v>
      </c>
      <c r="C280" s="2" t="s">
        <v>107</v>
      </c>
      <c r="D280" s="2" t="s">
        <v>108</v>
      </c>
      <c r="E280" s="2" t="s">
        <v>35</v>
      </c>
      <c r="F280" s="2" t="s">
        <v>60</v>
      </c>
      <c r="G280" s="2" t="s">
        <v>134</v>
      </c>
      <c r="H280" s="2" t="s">
        <v>20</v>
      </c>
      <c r="I280" s="4">
        <v>1</v>
      </c>
      <c r="J280" s="4">
        <v>680</v>
      </c>
      <c r="K280" s="4">
        <v>10</v>
      </c>
      <c r="L280" s="5">
        <f t="shared" si="12"/>
        <v>612</v>
      </c>
      <c r="M280" s="5">
        <f t="shared" si="13"/>
        <v>397.8</v>
      </c>
      <c r="N280" s="5">
        <f t="shared" si="14"/>
        <v>214.2</v>
      </c>
    </row>
    <row r="281" spans="1:14">
      <c r="A281" s="6" t="s">
        <v>491</v>
      </c>
      <c r="B281" s="7">
        <v>45498</v>
      </c>
      <c r="C281" s="6" t="s">
        <v>33</v>
      </c>
      <c r="D281" s="6" t="s">
        <v>34</v>
      </c>
      <c r="E281" s="6" t="s">
        <v>24</v>
      </c>
      <c r="F281" s="6" t="s">
        <v>125</v>
      </c>
      <c r="G281" s="6" t="s">
        <v>81</v>
      </c>
      <c r="H281" s="6" t="s">
        <v>45</v>
      </c>
      <c r="I281" s="8">
        <v>2</v>
      </c>
      <c r="J281" s="8">
        <v>510</v>
      </c>
      <c r="K281" s="8">
        <v>5</v>
      </c>
      <c r="L281" s="9">
        <f t="shared" si="12"/>
        <v>969</v>
      </c>
      <c r="M281" s="9">
        <f t="shared" si="13"/>
        <v>629.85</v>
      </c>
      <c r="N281" s="9">
        <f t="shared" si="14"/>
        <v>339.15</v>
      </c>
    </row>
    <row r="282" spans="1:14">
      <c r="A282" s="2" t="s">
        <v>492</v>
      </c>
      <c r="B282" s="3">
        <v>45499</v>
      </c>
      <c r="C282" s="2" t="s">
        <v>107</v>
      </c>
      <c r="D282" s="2" t="s">
        <v>108</v>
      </c>
      <c r="E282" s="2" t="s">
        <v>24</v>
      </c>
      <c r="F282" s="2" t="s">
        <v>25</v>
      </c>
      <c r="G282" s="2" t="s">
        <v>493</v>
      </c>
      <c r="H282" s="2" t="s">
        <v>20</v>
      </c>
      <c r="I282" s="4">
        <v>1</v>
      </c>
      <c r="J282" s="4">
        <v>730</v>
      </c>
      <c r="K282" s="4">
        <v>15</v>
      </c>
      <c r="L282" s="5">
        <f t="shared" si="12"/>
        <v>620.5</v>
      </c>
      <c r="M282" s="5">
        <f t="shared" si="13"/>
        <v>403.32499999999999</v>
      </c>
      <c r="N282" s="5">
        <f t="shared" si="14"/>
        <v>217.17500000000001</v>
      </c>
    </row>
    <row r="283" spans="1:14">
      <c r="A283" s="6" t="s">
        <v>494</v>
      </c>
      <c r="B283" s="7">
        <v>45500</v>
      </c>
      <c r="C283" s="6" t="s">
        <v>15</v>
      </c>
      <c r="D283" s="6" t="s">
        <v>16</v>
      </c>
      <c r="E283" s="6" t="s">
        <v>42</v>
      </c>
      <c r="F283" s="6" t="s">
        <v>43</v>
      </c>
      <c r="G283" s="6" t="s">
        <v>64</v>
      </c>
      <c r="H283" s="6" t="s">
        <v>20</v>
      </c>
      <c r="I283" s="8">
        <v>3</v>
      </c>
      <c r="J283" s="8">
        <v>3400</v>
      </c>
      <c r="K283" s="8">
        <v>10</v>
      </c>
      <c r="L283" s="9">
        <f t="shared" si="12"/>
        <v>9180</v>
      </c>
      <c r="M283" s="9">
        <f t="shared" si="13"/>
        <v>5967</v>
      </c>
      <c r="N283" s="9">
        <f t="shared" si="14"/>
        <v>3213</v>
      </c>
    </row>
    <row r="284" spans="1:14">
      <c r="A284" s="2" t="s">
        <v>495</v>
      </c>
      <c r="B284" s="3">
        <v>45500</v>
      </c>
      <c r="C284" s="2" t="s">
        <v>28</v>
      </c>
      <c r="D284" s="2" t="s">
        <v>29</v>
      </c>
      <c r="E284" s="2" t="s">
        <v>35</v>
      </c>
      <c r="F284" s="2" t="s">
        <v>50</v>
      </c>
      <c r="G284" s="2" t="s">
        <v>496</v>
      </c>
      <c r="H284" s="2" t="s">
        <v>20</v>
      </c>
      <c r="I284" s="4">
        <v>1</v>
      </c>
      <c r="J284" s="4">
        <v>290</v>
      </c>
      <c r="K284" s="4">
        <v>5</v>
      </c>
      <c r="L284" s="5">
        <f t="shared" si="12"/>
        <v>275.5</v>
      </c>
      <c r="M284" s="5">
        <f t="shared" si="13"/>
        <v>179.07500000000002</v>
      </c>
      <c r="N284" s="5">
        <f t="shared" si="14"/>
        <v>96.424999999999983</v>
      </c>
    </row>
    <row r="285" spans="1:14">
      <c r="A285" s="6" t="s">
        <v>497</v>
      </c>
      <c r="B285" s="7">
        <v>45501</v>
      </c>
      <c r="C285" s="6" t="s">
        <v>28</v>
      </c>
      <c r="D285" s="6" t="s">
        <v>29</v>
      </c>
      <c r="E285" s="6" t="s">
        <v>35</v>
      </c>
      <c r="F285" s="6" t="s">
        <v>57</v>
      </c>
      <c r="G285" s="6" t="s">
        <v>450</v>
      </c>
      <c r="H285" s="6" t="s">
        <v>20</v>
      </c>
      <c r="I285" s="8">
        <v>3</v>
      </c>
      <c r="J285" s="8">
        <v>900</v>
      </c>
      <c r="K285" s="8">
        <v>5</v>
      </c>
      <c r="L285" s="9">
        <f t="shared" si="12"/>
        <v>2565</v>
      </c>
      <c r="M285" s="9">
        <f t="shared" si="13"/>
        <v>1667.25</v>
      </c>
      <c r="N285" s="9">
        <f t="shared" si="14"/>
        <v>897.75</v>
      </c>
    </row>
    <row r="286" spans="1:14">
      <c r="A286" s="2" t="s">
        <v>498</v>
      </c>
      <c r="B286" s="3">
        <v>45501</v>
      </c>
      <c r="C286" s="2" t="s">
        <v>15</v>
      </c>
      <c r="D286" s="2" t="s">
        <v>16</v>
      </c>
      <c r="E286" s="2" t="s">
        <v>17</v>
      </c>
      <c r="F286" s="2" t="s">
        <v>30</v>
      </c>
      <c r="G286" s="2" t="s">
        <v>146</v>
      </c>
      <c r="H286" s="2" t="s">
        <v>45</v>
      </c>
      <c r="I286" s="4">
        <v>3</v>
      </c>
      <c r="J286" s="4">
        <v>230</v>
      </c>
      <c r="K286" s="4">
        <v>0</v>
      </c>
      <c r="L286" s="5">
        <f t="shared" si="12"/>
        <v>690</v>
      </c>
      <c r="M286" s="5">
        <f t="shared" si="13"/>
        <v>448.5</v>
      </c>
      <c r="N286" s="5">
        <f t="shared" si="14"/>
        <v>241.5</v>
      </c>
    </row>
    <row r="287" spans="1:14">
      <c r="A287" s="6" t="s">
        <v>499</v>
      </c>
      <c r="B287" s="7">
        <v>45503</v>
      </c>
      <c r="C287" s="6" t="s">
        <v>15</v>
      </c>
      <c r="D287" s="6" t="s">
        <v>16</v>
      </c>
      <c r="E287" s="6" t="s">
        <v>42</v>
      </c>
      <c r="F287" s="6" t="s">
        <v>43</v>
      </c>
      <c r="G287" s="6" t="s">
        <v>438</v>
      </c>
      <c r="H287" s="6" t="s">
        <v>20</v>
      </c>
      <c r="I287" s="8">
        <v>4</v>
      </c>
      <c r="J287" s="8">
        <v>3700</v>
      </c>
      <c r="K287" s="8">
        <v>15</v>
      </c>
      <c r="L287" s="9">
        <f t="shared" si="12"/>
        <v>12580</v>
      </c>
      <c r="M287" s="9">
        <f t="shared" si="13"/>
        <v>8177</v>
      </c>
      <c r="N287" s="9">
        <f t="shared" si="14"/>
        <v>4403</v>
      </c>
    </row>
    <row r="288" spans="1:14">
      <c r="A288" s="2" t="s">
        <v>500</v>
      </c>
      <c r="B288" s="3">
        <v>45504</v>
      </c>
      <c r="C288" s="2" t="s">
        <v>15</v>
      </c>
      <c r="D288" s="2" t="s">
        <v>16</v>
      </c>
      <c r="E288" s="2" t="s">
        <v>17</v>
      </c>
      <c r="F288" s="2" t="s">
        <v>206</v>
      </c>
      <c r="G288" s="2" t="s">
        <v>225</v>
      </c>
      <c r="H288" s="2" t="s">
        <v>20</v>
      </c>
      <c r="I288" s="4">
        <v>1</v>
      </c>
      <c r="J288" s="4">
        <v>100</v>
      </c>
      <c r="K288" s="4">
        <v>10</v>
      </c>
      <c r="L288" s="5">
        <f t="shared" si="12"/>
        <v>90</v>
      </c>
      <c r="M288" s="5">
        <f t="shared" si="13"/>
        <v>58.5</v>
      </c>
      <c r="N288" s="5">
        <f t="shared" si="14"/>
        <v>31.5</v>
      </c>
    </row>
    <row r="289" spans="1:14">
      <c r="A289" s="6" t="s">
        <v>501</v>
      </c>
      <c r="B289" s="7">
        <v>45504</v>
      </c>
      <c r="C289" s="6" t="s">
        <v>28</v>
      </c>
      <c r="D289" s="6" t="s">
        <v>29</v>
      </c>
      <c r="E289" s="6" t="s">
        <v>35</v>
      </c>
      <c r="F289" s="6" t="s">
        <v>182</v>
      </c>
      <c r="G289" s="6" t="s">
        <v>458</v>
      </c>
      <c r="H289" s="6" t="s">
        <v>20</v>
      </c>
      <c r="I289" s="8">
        <v>1</v>
      </c>
      <c r="J289" s="8">
        <v>510</v>
      </c>
      <c r="K289" s="8">
        <v>10</v>
      </c>
      <c r="L289" s="9">
        <f t="shared" si="12"/>
        <v>459</v>
      </c>
      <c r="M289" s="9">
        <f t="shared" si="13"/>
        <v>298.35000000000002</v>
      </c>
      <c r="N289" s="9">
        <f t="shared" si="14"/>
        <v>160.64999999999998</v>
      </c>
    </row>
    <row r="290" spans="1:14">
      <c r="A290" s="2" t="s">
        <v>502</v>
      </c>
      <c r="B290" s="3">
        <v>45504</v>
      </c>
      <c r="C290" s="2" t="s">
        <v>107</v>
      </c>
      <c r="D290" s="2" t="s">
        <v>108</v>
      </c>
      <c r="E290" s="2" t="s">
        <v>24</v>
      </c>
      <c r="F290" s="2" t="s">
        <v>66</v>
      </c>
      <c r="G290" s="2" t="s">
        <v>503</v>
      </c>
      <c r="H290" s="2" t="s">
        <v>52</v>
      </c>
      <c r="I290" s="4">
        <v>3</v>
      </c>
      <c r="J290" s="4">
        <v>760</v>
      </c>
      <c r="K290" s="4">
        <v>20</v>
      </c>
      <c r="L290" s="5">
        <f t="shared" si="12"/>
        <v>1824</v>
      </c>
      <c r="M290" s="5">
        <f t="shared" si="13"/>
        <v>1185.6000000000001</v>
      </c>
      <c r="N290" s="5">
        <f t="shared" si="14"/>
        <v>638.39999999999986</v>
      </c>
    </row>
    <row r="291" spans="1:14">
      <c r="A291" s="6" t="s">
        <v>504</v>
      </c>
      <c r="B291" s="7">
        <v>45505</v>
      </c>
      <c r="C291" s="6" t="s">
        <v>22</v>
      </c>
      <c r="D291" s="6" t="s">
        <v>23</v>
      </c>
      <c r="E291" s="6" t="s">
        <v>42</v>
      </c>
      <c r="F291" s="6" t="s">
        <v>113</v>
      </c>
      <c r="G291" s="6" t="s">
        <v>301</v>
      </c>
      <c r="H291" s="6" t="s">
        <v>20</v>
      </c>
      <c r="I291" s="8">
        <v>3</v>
      </c>
      <c r="J291" s="8">
        <v>790</v>
      </c>
      <c r="K291" s="8">
        <v>10</v>
      </c>
      <c r="L291" s="9">
        <f t="shared" si="12"/>
        <v>2133</v>
      </c>
      <c r="M291" s="9">
        <f t="shared" si="13"/>
        <v>1386.45</v>
      </c>
      <c r="N291" s="9">
        <f t="shared" si="14"/>
        <v>746.55</v>
      </c>
    </row>
    <row r="292" spans="1:14">
      <c r="A292" s="2" t="s">
        <v>505</v>
      </c>
      <c r="B292" s="3">
        <v>45505</v>
      </c>
      <c r="C292" s="2" t="s">
        <v>28</v>
      </c>
      <c r="D292" s="2" t="s">
        <v>29</v>
      </c>
      <c r="E292" s="2" t="s">
        <v>35</v>
      </c>
      <c r="F292" s="2" t="s">
        <v>182</v>
      </c>
      <c r="G292" s="2" t="s">
        <v>26</v>
      </c>
      <c r="H292" s="2" t="s">
        <v>20</v>
      </c>
      <c r="I292" s="4">
        <v>1</v>
      </c>
      <c r="J292" s="4">
        <v>500</v>
      </c>
      <c r="K292" s="4">
        <v>15</v>
      </c>
      <c r="L292" s="5">
        <f t="shared" si="12"/>
        <v>425</v>
      </c>
      <c r="M292" s="5">
        <f t="shared" si="13"/>
        <v>276.25</v>
      </c>
      <c r="N292" s="5">
        <f t="shared" si="14"/>
        <v>148.75</v>
      </c>
    </row>
    <row r="293" spans="1:14">
      <c r="A293" s="6" t="s">
        <v>506</v>
      </c>
      <c r="B293" s="7">
        <v>45505</v>
      </c>
      <c r="C293" s="6" t="s">
        <v>22</v>
      </c>
      <c r="D293" s="6" t="s">
        <v>23</v>
      </c>
      <c r="E293" s="6" t="s">
        <v>35</v>
      </c>
      <c r="F293" s="6" t="s">
        <v>57</v>
      </c>
      <c r="G293" s="6" t="s">
        <v>320</v>
      </c>
      <c r="H293" s="6" t="s">
        <v>52</v>
      </c>
      <c r="I293" s="8">
        <v>2</v>
      </c>
      <c r="J293" s="8">
        <v>840</v>
      </c>
      <c r="K293" s="8">
        <v>20</v>
      </c>
      <c r="L293" s="9">
        <f t="shared" si="12"/>
        <v>1344</v>
      </c>
      <c r="M293" s="9">
        <f t="shared" si="13"/>
        <v>873.6</v>
      </c>
      <c r="N293" s="9">
        <f t="shared" si="14"/>
        <v>470.4</v>
      </c>
    </row>
    <row r="294" spans="1:14">
      <c r="A294" s="2" t="s">
        <v>507</v>
      </c>
      <c r="B294" s="3">
        <v>45506</v>
      </c>
      <c r="C294" s="2" t="s">
        <v>22</v>
      </c>
      <c r="D294" s="2" t="s">
        <v>23</v>
      </c>
      <c r="E294" s="2" t="s">
        <v>42</v>
      </c>
      <c r="F294" s="2" t="s">
        <v>113</v>
      </c>
      <c r="G294" s="2" t="s">
        <v>263</v>
      </c>
      <c r="H294" s="2" t="s">
        <v>20</v>
      </c>
      <c r="I294" s="4">
        <v>2</v>
      </c>
      <c r="J294" s="4">
        <v>750</v>
      </c>
      <c r="K294" s="4">
        <v>15</v>
      </c>
      <c r="L294" s="5">
        <f t="shared" si="12"/>
        <v>1275</v>
      </c>
      <c r="M294" s="5">
        <f t="shared" si="13"/>
        <v>828.75</v>
      </c>
      <c r="N294" s="5">
        <f t="shared" si="14"/>
        <v>446.25</v>
      </c>
    </row>
    <row r="295" spans="1:14">
      <c r="A295" s="6" t="s">
        <v>508</v>
      </c>
      <c r="B295" s="7">
        <v>45506</v>
      </c>
      <c r="C295" s="6" t="s">
        <v>22</v>
      </c>
      <c r="D295" s="6" t="s">
        <v>23</v>
      </c>
      <c r="E295" s="6" t="s">
        <v>42</v>
      </c>
      <c r="F295" s="6" t="s">
        <v>217</v>
      </c>
      <c r="G295" s="6" t="s">
        <v>458</v>
      </c>
      <c r="H295" s="6" t="s">
        <v>20</v>
      </c>
      <c r="I295" s="8">
        <v>4</v>
      </c>
      <c r="J295" s="8">
        <v>680</v>
      </c>
      <c r="K295" s="8">
        <v>5</v>
      </c>
      <c r="L295" s="9">
        <f t="shared" si="12"/>
        <v>2584</v>
      </c>
      <c r="M295" s="9">
        <f t="shared" si="13"/>
        <v>1679.6000000000001</v>
      </c>
      <c r="N295" s="9">
        <f t="shared" si="14"/>
        <v>904.39999999999986</v>
      </c>
    </row>
    <row r="296" spans="1:14">
      <c r="A296" s="2" t="s">
        <v>509</v>
      </c>
      <c r="B296" s="3">
        <v>45507</v>
      </c>
      <c r="C296" s="2" t="s">
        <v>33</v>
      </c>
      <c r="D296" s="2" t="s">
        <v>34</v>
      </c>
      <c r="E296" s="2" t="s">
        <v>24</v>
      </c>
      <c r="F296" s="2" t="s">
        <v>63</v>
      </c>
      <c r="G296" s="2" t="s">
        <v>160</v>
      </c>
      <c r="H296" s="2" t="s">
        <v>45</v>
      </c>
      <c r="I296" s="4">
        <v>2</v>
      </c>
      <c r="J296" s="4">
        <v>1640</v>
      </c>
      <c r="K296" s="4">
        <v>0</v>
      </c>
      <c r="L296" s="5">
        <f t="shared" si="12"/>
        <v>3280</v>
      </c>
      <c r="M296" s="5">
        <f t="shared" si="13"/>
        <v>2132</v>
      </c>
      <c r="N296" s="5">
        <f t="shared" si="14"/>
        <v>1148</v>
      </c>
    </row>
    <row r="297" spans="1:14">
      <c r="A297" s="6" t="s">
        <v>510</v>
      </c>
      <c r="B297" s="7">
        <v>45507</v>
      </c>
      <c r="C297" s="6" t="s">
        <v>33</v>
      </c>
      <c r="D297" s="6" t="s">
        <v>34</v>
      </c>
      <c r="E297" s="6" t="s">
        <v>17</v>
      </c>
      <c r="F297" s="6" t="s">
        <v>224</v>
      </c>
      <c r="G297" s="6" t="s">
        <v>100</v>
      </c>
      <c r="H297" s="6" t="s">
        <v>52</v>
      </c>
      <c r="I297" s="8">
        <v>2</v>
      </c>
      <c r="J297" s="8">
        <v>90</v>
      </c>
      <c r="K297" s="8">
        <v>20</v>
      </c>
      <c r="L297" s="9">
        <f t="shared" si="12"/>
        <v>144</v>
      </c>
      <c r="M297" s="9">
        <f t="shared" si="13"/>
        <v>93.600000000000009</v>
      </c>
      <c r="N297" s="9">
        <f t="shared" si="14"/>
        <v>50.399999999999991</v>
      </c>
    </row>
    <row r="298" spans="1:14">
      <c r="A298" s="2" t="s">
        <v>511</v>
      </c>
      <c r="B298" s="3">
        <v>45507</v>
      </c>
      <c r="C298" s="2" t="s">
        <v>107</v>
      </c>
      <c r="D298" s="2" t="s">
        <v>108</v>
      </c>
      <c r="E298" s="2" t="s">
        <v>42</v>
      </c>
      <c r="F298" s="2" t="s">
        <v>74</v>
      </c>
      <c r="G298" s="2" t="s">
        <v>314</v>
      </c>
      <c r="H298" s="2" t="s">
        <v>52</v>
      </c>
      <c r="I298" s="4">
        <v>3</v>
      </c>
      <c r="J298" s="4">
        <v>1350</v>
      </c>
      <c r="K298" s="4">
        <v>10</v>
      </c>
      <c r="L298" s="5">
        <f t="shared" si="12"/>
        <v>3645</v>
      </c>
      <c r="M298" s="5">
        <f t="shared" si="13"/>
        <v>2369.25</v>
      </c>
      <c r="N298" s="5">
        <f t="shared" si="14"/>
        <v>1275.75</v>
      </c>
    </row>
    <row r="299" spans="1:14">
      <c r="A299" s="6" t="s">
        <v>512</v>
      </c>
      <c r="B299" s="7">
        <v>45508</v>
      </c>
      <c r="C299" s="6" t="s">
        <v>22</v>
      </c>
      <c r="D299" s="6" t="s">
        <v>23</v>
      </c>
      <c r="E299" s="6" t="s">
        <v>42</v>
      </c>
      <c r="F299" s="6" t="s">
        <v>47</v>
      </c>
      <c r="G299" s="6" t="s">
        <v>418</v>
      </c>
      <c r="H299" s="6" t="s">
        <v>20</v>
      </c>
      <c r="I299" s="8">
        <v>5</v>
      </c>
      <c r="J299" s="8">
        <v>980</v>
      </c>
      <c r="K299" s="8">
        <v>5</v>
      </c>
      <c r="L299" s="9">
        <f t="shared" si="12"/>
        <v>4655</v>
      </c>
      <c r="M299" s="9">
        <f t="shared" si="13"/>
        <v>3025.75</v>
      </c>
      <c r="N299" s="9">
        <f t="shared" si="14"/>
        <v>1629.25</v>
      </c>
    </row>
    <row r="300" spans="1:14">
      <c r="A300" s="2" t="s">
        <v>513</v>
      </c>
      <c r="B300" s="3">
        <v>45508</v>
      </c>
      <c r="C300" s="2" t="s">
        <v>28</v>
      </c>
      <c r="D300" s="2" t="s">
        <v>29</v>
      </c>
      <c r="E300" s="2" t="s">
        <v>42</v>
      </c>
      <c r="F300" s="2" t="s">
        <v>174</v>
      </c>
      <c r="G300" s="2" t="s">
        <v>48</v>
      </c>
      <c r="H300" s="2" t="s">
        <v>20</v>
      </c>
      <c r="I300" s="4">
        <v>2</v>
      </c>
      <c r="J300" s="4">
        <v>1650</v>
      </c>
      <c r="K300" s="4">
        <v>15</v>
      </c>
      <c r="L300" s="5">
        <f t="shared" si="12"/>
        <v>2805</v>
      </c>
      <c r="M300" s="5">
        <f t="shared" si="13"/>
        <v>1823.25</v>
      </c>
      <c r="N300" s="5">
        <f t="shared" si="14"/>
        <v>981.75</v>
      </c>
    </row>
    <row r="301" spans="1:14">
      <c r="A301" s="6" t="s">
        <v>514</v>
      </c>
      <c r="B301" s="7">
        <v>45508</v>
      </c>
      <c r="C301" s="6" t="s">
        <v>28</v>
      </c>
      <c r="D301" s="6" t="s">
        <v>29</v>
      </c>
      <c r="E301" s="6" t="s">
        <v>17</v>
      </c>
      <c r="F301" s="6" t="s">
        <v>18</v>
      </c>
      <c r="G301" s="6" t="s">
        <v>418</v>
      </c>
      <c r="H301" s="6" t="s">
        <v>20</v>
      </c>
      <c r="I301" s="8">
        <v>2</v>
      </c>
      <c r="J301" s="8">
        <v>280</v>
      </c>
      <c r="K301" s="8">
        <v>15</v>
      </c>
      <c r="L301" s="9">
        <f t="shared" si="12"/>
        <v>476</v>
      </c>
      <c r="M301" s="9">
        <f t="shared" si="13"/>
        <v>309.40000000000003</v>
      </c>
      <c r="N301" s="9">
        <f t="shared" si="14"/>
        <v>166.59999999999997</v>
      </c>
    </row>
    <row r="302" spans="1:14">
      <c r="A302" s="2" t="s">
        <v>515</v>
      </c>
      <c r="B302" s="3">
        <v>45509</v>
      </c>
      <c r="C302" s="2" t="s">
        <v>107</v>
      </c>
      <c r="D302" s="2" t="s">
        <v>108</v>
      </c>
      <c r="E302" s="2" t="s">
        <v>24</v>
      </c>
      <c r="F302" s="2" t="s">
        <v>63</v>
      </c>
      <c r="G302" s="2" t="s">
        <v>261</v>
      </c>
      <c r="H302" s="2" t="s">
        <v>52</v>
      </c>
      <c r="I302" s="4">
        <v>1</v>
      </c>
      <c r="J302" s="4">
        <v>1360</v>
      </c>
      <c r="K302" s="4">
        <v>10</v>
      </c>
      <c r="L302" s="5">
        <f t="shared" si="12"/>
        <v>1224</v>
      </c>
      <c r="M302" s="5">
        <f t="shared" si="13"/>
        <v>795.6</v>
      </c>
      <c r="N302" s="5">
        <f t="shared" si="14"/>
        <v>428.4</v>
      </c>
    </row>
    <row r="303" spans="1:14">
      <c r="A303" s="6" t="s">
        <v>516</v>
      </c>
      <c r="B303" s="7">
        <v>45510</v>
      </c>
      <c r="C303" s="6" t="s">
        <v>15</v>
      </c>
      <c r="D303" s="6" t="s">
        <v>16</v>
      </c>
      <c r="E303" s="6" t="s">
        <v>35</v>
      </c>
      <c r="F303" s="6" t="s">
        <v>57</v>
      </c>
      <c r="G303" s="6" t="s">
        <v>343</v>
      </c>
      <c r="H303" s="6" t="s">
        <v>20</v>
      </c>
      <c r="I303" s="8">
        <v>1</v>
      </c>
      <c r="J303" s="8">
        <v>820</v>
      </c>
      <c r="K303" s="8">
        <v>5</v>
      </c>
      <c r="L303" s="9">
        <f t="shared" si="12"/>
        <v>779</v>
      </c>
      <c r="M303" s="9">
        <f t="shared" si="13"/>
        <v>506.35</v>
      </c>
      <c r="N303" s="9">
        <f t="shared" si="14"/>
        <v>272.64999999999998</v>
      </c>
    </row>
    <row r="304" spans="1:14">
      <c r="A304" s="2" t="s">
        <v>517</v>
      </c>
      <c r="B304" s="3">
        <v>45510</v>
      </c>
      <c r="C304" s="2" t="s">
        <v>107</v>
      </c>
      <c r="D304" s="2" t="s">
        <v>108</v>
      </c>
      <c r="E304" s="2" t="s">
        <v>35</v>
      </c>
      <c r="F304" s="2" t="s">
        <v>109</v>
      </c>
      <c r="G304" s="2" t="s">
        <v>518</v>
      </c>
      <c r="H304" s="2" t="s">
        <v>52</v>
      </c>
      <c r="I304" s="4">
        <v>1</v>
      </c>
      <c r="J304" s="4">
        <v>440</v>
      </c>
      <c r="K304" s="4">
        <v>15</v>
      </c>
      <c r="L304" s="5">
        <f t="shared" si="12"/>
        <v>374</v>
      </c>
      <c r="M304" s="5">
        <f t="shared" si="13"/>
        <v>243.1</v>
      </c>
      <c r="N304" s="5">
        <f t="shared" si="14"/>
        <v>130.9</v>
      </c>
    </row>
    <row r="305" spans="1:14">
      <c r="A305" s="6" t="s">
        <v>519</v>
      </c>
      <c r="B305" s="7">
        <v>45511</v>
      </c>
      <c r="C305" s="6" t="s">
        <v>28</v>
      </c>
      <c r="D305" s="6" t="s">
        <v>29</v>
      </c>
      <c r="E305" s="6" t="s">
        <v>42</v>
      </c>
      <c r="F305" s="6" t="s">
        <v>113</v>
      </c>
      <c r="G305" s="6" t="s">
        <v>284</v>
      </c>
      <c r="H305" s="6" t="s">
        <v>20</v>
      </c>
      <c r="I305" s="8">
        <v>3</v>
      </c>
      <c r="J305" s="8">
        <v>750</v>
      </c>
      <c r="K305" s="8">
        <v>15</v>
      </c>
      <c r="L305" s="9">
        <f t="shared" si="12"/>
        <v>1912.5</v>
      </c>
      <c r="M305" s="9">
        <f t="shared" si="13"/>
        <v>1243.125</v>
      </c>
      <c r="N305" s="9">
        <f t="shared" si="14"/>
        <v>669.375</v>
      </c>
    </row>
    <row r="306" spans="1:14">
      <c r="A306" s="2" t="s">
        <v>520</v>
      </c>
      <c r="B306" s="3">
        <v>45512</v>
      </c>
      <c r="C306" s="2" t="s">
        <v>15</v>
      </c>
      <c r="D306" s="2" t="s">
        <v>16</v>
      </c>
      <c r="E306" s="2" t="s">
        <v>42</v>
      </c>
      <c r="F306" s="2" t="s">
        <v>43</v>
      </c>
      <c r="G306" s="2" t="s">
        <v>432</v>
      </c>
      <c r="H306" s="2" t="s">
        <v>20</v>
      </c>
      <c r="I306" s="4">
        <v>2</v>
      </c>
      <c r="J306" s="4">
        <v>3330</v>
      </c>
      <c r="K306" s="4">
        <v>15</v>
      </c>
      <c r="L306" s="5">
        <f t="shared" si="12"/>
        <v>5661</v>
      </c>
      <c r="M306" s="5">
        <f t="shared" si="13"/>
        <v>3679.65</v>
      </c>
      <c r="N306" s="5">
        <f t="shared" si="14"/>
        <v>1981.35</v>
      </c>
    </row>
    <row r="307" spans="1:14">
      <c r="A307" s="6" t="s">
        <v>521</v>
      </c>
      <c r="B307" s="7">
        <v>45513</v>
      </c>
      <c r="C307" s="6" t="s">
        <v>22</v>
      </c>
      <c r="D307" s="6" t="s">
        <v>23</v>
      </c>
      <c r="E307" s="6" t="s">
        <v>42</v>
      </c>
      <c r="F307" s="6" t="s">
        <v>43</v>
      </c>
      <c r="G307" s="6" t="s">
        <v>368</v>
      </c>
      <c r="H307" s="6" t="s">
        <v>45</v>
      </c>
      <c r="I307" s="8">
        <v>1</v>
      </c>
      <c r="J307" s="8">
        <v>3510</v>
      </c>
      <c r="K307" s="8">
        <v>10</v>
      </c>
      <c r="L307" s="9">
        <f t="shared" si="12"/>
        <v>3159</v>
      </c>
      <c r="M307" s="9">
        <f t="shared" si="13"/>
        <v>2053.35</v>
      </c>
      <c r="N307" s="9">
        <f t="shared" si="14"/>
        <v>1105.6500000000001</v>
      </c>
    </row>
    <row r="308" spans="1:14">
      <c r="A308" s="2" t="s">
        <v>522</v>
      </c>
      <c r="B308" s="3">
        <v>45513</v>
      </c>
      <c r="C308" s="2" t="s">
        <v>107</v>
      </c>
      <c r="D308" s="2" t="s">
        <v>108</v>
      </c>
      <c r="E308" s="2" t="s">
        <v>35</v>
      </c>
      <c r="F308" s="2" t="s">
        <v>182</v>
      </c>
      <c r="G308" s="2" t="s">
        <v>81</v>
      </c>
      <c r="H308" s="2" t="s">
        <v>52</v>
      </c>
      <c r="I308" s="4">
        <v>3</v>
      </c>
      <c r="J308" s="4">
        <v>530</v>
      </c>
      <c r="K308" s="4">
        <v>10</v>
      </c>
      <c r="L308" s="5">
        <f t="shared" si="12"/>
        <v>1431</v>
      </c>
      <c r="M308" s="5">
        <f t="shared" si="13"/>
        <v>930.15</v>
      </c>
      <c r="N308" s="5">
        <f t="shared" si="14"/>
        <v>500.85</v>
      </c>
    </row>
    <row r="309" spans="1:14">
      <c r="A309" s="6" t="s">
        <v>523</v>
      </c>
      <c r="B309" s="7">
        <v>45515</v>
      </c>
      <c r="C309" s="6" t="s">
        <v>28</v>
      </c>
      <c r="D309" s="6" t="s">
        <v>29</v>
      </c>
      <c r="E309" s="6" t="s">
        <v>42</v>
      </c>
      <c r="F309" s="6" t="s">
        <v>174</v>
      </c>
      <c r="G309" s="6" t="s">
        <v>293</v>
      </c>
      <c r="H309" s="6" t="s">
        <v>20</v>
      </c>
      <c r="I309" s="8">
        <v>1</v>
      </c>
      <c r="J309" s="8">
        <v>1450</v>
      </c>
      <c r="K309" s="8">
        <v>5</v>
      </c>
      <c r="L309" s="9">
        <f t="shared" si="12"/>
        <v>1377.5</v>
      </c>
      <c r="M309" s="9">
        <f t="shared" si="13"/>
        <v>895.375</v>
      </c>
      <c r="N309" s="9">
        <f t="shared" si="14"/>
        <v>482.125</v>
      </c>
    </row>
    <row r="310" spans="1:14">
      <c r="A310" s="2" t="s">
        <v>524</v>
      </c>
      <c r="B310" s="3">
        <v>45515</v>
      </c>
      <c r="C310" s="2" t="s">
        <v>15</v>
      </c>
      <c r="D310" s="2" t="s">
        <v>16</v>
      </c>
      <c r="E310" s="2" t="s">
        <v>24</v>
      </c>
      <c r="F310" s="2" t="s">
        <v>63</v>
      </c>
      <c r="G310" s="2" t="s">
        <v>249</v>
      </c>
      <c r="H310" s="2" t="s">
        <v>20</v>
      </c>
      <c r="I310" s="4">
        <v>1</v>
      </c>
      <c r="J310" s="4">
        <v>1610</v>
      </c>
      <c r="K310" s="4">
        <v>10</v>
      </c>
      <c r="L310" s="5">
        <f t="shared" si="12"/>
        <v>1449</v>
      </c>
      <c r="M310" s="5">
        <f t="shared" si="13"/>
        <v>941.85</v>
      </c>
      <c r="N310" s="5">
        <f t="shared" si="14"/>
        <v>507.15</v>
      </c>
    </row>
    <row r="311" spans="1:14">
      <c r="A311" s="6" t="s">
        <v>525</v>
      </c>
      <c r="B311" s="7">
        <v>45517</v>
      </c>
      <c r="C311" s="6" t="s">
        <v>22</v>
      </c>
      <c r="D311" s="6" t="s">
        <v>23</v>
      </c>
      <c r="E311" s="6" t="s">
        <v>24</v>
      </c>
      <c r="F311" s="6" t="s">
        <v>25</v>
      </c>
      <c r="G311" s="6" t="s">
        <v>355</v>
      </c>
      <c r="H311" s="6" t="s">
        <v>52</v>
      </c>
      <c r="I311" s="8">
        <v>1</v>
      </c>
      <c r="J311" s="8">
        <v>690</v>
      </c>
      <c r="K311" s="8">
        <v>10</v>
      </c>
      <c r="L311" s="9">
        <f t="shared" si="12"/>
        <v>621</v>
      </c>
      <c r="M311" s="9">
        <f t="shared" si="13"/>
        <v>403.65000000000003</v>
      </c>
      <c r="N311" s="9">
        <f t="shared" si="14"/>
        <v>217.34999999999997</v>
      </c>
    </row>
    <row r="312" spans="1:14">
      <c r="A312" s="2" t="s">
        <v>526</v>
      </c>
      <c r="B312" s="3">
        <v>45518</v>
      </c>
      <c r="C312" s="2" t="s">
        <v>15</v>
      </c>
      <c r="D312" s="2" t="s">
        <v>16</v>
      </c>
      <c r="E312" s="2" t="s">
        <v>24</v>
      </c>
      <c r="F312" s="2" t="s">
        <v>83</v>
      </c>
      <c r="G312" s="2" t="s">
        <v>527</v>
      </c>
      <c r="H312" s="2" t="s">
        <v>20</v>
      </c>
      <c r="I312" s="4">
        <v>2</v>
      </c>
      <c r="J312" s="4">
        <v>600</v>
      </c>
      <c r="K312" s="4">
        <v>5</v>
      </c>
      <c r="L312" s="5">
        <f t="shared" si="12"/>
        <v>1140</v>
      </c>
      <c r="M312" s="5">
        <f t="shared" si="13"/>
        <v>741</v>
      </c>
      <c r="N312" s="5">
        <f t="shared" si="14"/>
        <v>399</v>
      </c>
    </row>
    <row r="313" spans="1:14">
      <c r="A313" s="6" t="s">
        <v>528</v>
      </c>
      <c r="B313" s="7">
        <v>45518</v>
      </c>
      <c r="C313" s="6" t="s">
        <v>28</v>
      </c>
      <c r="D313" s="6" t="s">
        <v>29</v>
      </c>
      <c r="E313" s="6" t="s">
        <v>35</v>
      </c>
      <c r="F313" s="6" t="s">
        <v>57</v>
      </c>
      <c r="G313" s="6" t="s">
        <v>152</v>
      </c>
      <c r="H313" s="6" t="s">
        <v>52</v>
      </c>
      <c r="I313" s="8">
        <v>1</v>
      </c>
      <c r="J313" s="8">
        <v>880</v>
      </c>
      <c r="K313" s="8">
        <v>15</v>
      </c>
      <c r="L313" s="9">
        <f t="shared" si="12"/>
        <v>748</v>
      </c>
      <c r="M313" s="9">
        <f t="shared" si="13"/>
        <v>486.2</v>
      </c>
      <c r="N313" s="9">
        <f t="shared" si="14"/>
        <v>261.8</v>
      </c>
    </row>
    <row r="314" spans="1:14">
      <c r="A314" s="2" t="s">
        <v>529</v>
      </c>
      <c r="B314" s="3">
        <v>45518</v>
      </c>
      <c r="C314" s="2" t="s">
        <v>33</v>
      </c>
      <c r="D314" s="2" t="s">
        <v>34</v>
      </c>
      <c r="E314" s="2" t="s">
        <v>17</v>
      </c>
      <c r="F314" s="2" t="s">
        <v>267</v>
      </c>
      <c r="G314" s="2" t="s">
        <v>382</v>
      </c>
      <c r="H314" s="2" t="s">
        <v>20</v>
      </c>
      <c r="I314" s="4">
        <v>2</v>
      </c>
      <c r="J314" s="4">
        <v>340</v>
      </c>
      <c r="K314" s="4">
        <v>5</v>
      </c>
      <c r="L314" s="5">
        <f t="shared" si="12"/>
        <v>646</v>
      </c>
      <c r="M314" s="5">
        <f t="shared" si="13"/>
        <v>419.90000000000003</v>
      </c>
      <c r="N314" s="5">
        <f t="shared" si="14"/>
        <v>226.09999999999997</v>
      </c>
    </row>
    <row r="315" spans="1:14">
      <c r="A315" s="6" t="s">
        <v>530</v>
      </c>
      <c r="B315" s="7">
        <v>45519</v>
      </c>
      <c r="C315" s="6" t="s">
        <v>107</v>
      </c>
      <c r="D315" s="6" t="s">
        <v>108</v>
      </c>
      <c r="E315" s="6" t="s">
        <v>17</v>
      </c>
      <c r="F315" s="6" t="s">
        <v>116</v>
      </c>
      <c r="G315" s="6" t="s">
        <v>531</v>
      </c>
      <c r="H315" s="6" t="s">
        <v>20</v>
      </c>
      <c r="I315" s="8">
        <v>5</v>
      </c>
      <c r="J315" s="8">
        <v>160</v>
      </c>
      <c r="K315" s="8">
        <v>10</v>
      </c>
      <c r="L315" s="9">
        <f t="shared" si="12"/>
        <v>720</v>
      </c>
      <c r="M315" s="9">
        <f t="shared" si="13"/>
        <v>468</v>
      </c>
      <c r="N315" s="9">
        <f t="shared" si="14"/>
        <v>252</v>
      </c>
    </row>
    <row r="316" spans="1:14">
      <c r="A316" s="2" t="s">
        <v>532</v>
      </c>
      <c r="B316" s="3">
        <v>45519</v>
      </c>
      <c r="C316" s="2" t="s">
        <v>33</v>
      </c>
      <c r="D316" s="2" t="s">
        <v>34</v>
      </c>
      <c r="E316" s="2" t="s">
        <v>17</v>
      </c>
      <c r="F316" s="2" t="s">
        <v>116</v>
      </c>
      <c r="G316" s="2" t="s">
        <v>77</v>
      </c>
      <c r="H316" s="2" t="s">
        <v>20</v>
      </c>
      <c r="I316" s="4">
        <v>2</v>
      </c>
      <c r="J316" s="4">
        <v>140</v>
      </c>
      <c r="K316" s="4">
        <v>15</v>
      </c>
      <c r="L316" s="5">
        <f t="shared" si="12"/>
        <v>238</v>
      </c>
      <c r="M316" s="5">
        <f t="shared" si="13"/>
        <v>154.70000000000002</v>
      </c>
      <c r="N316" s="5">
        <f t="shared" si="14"/>
        <v>83.299999999999983</v>
      </c>
    </row>
    <row r="317" spans="1:14">
      <c r="A317" s="6" t="s">
        <v>533</v>
      </c>
      <c r="B317" s="7">
        <v>45520</v>
      </c>
      <c r="C317" s="6" t="s">
        <v>107</v>
      </c>
      <c r="D317" s="6" t="s">
        <v>108</v>
      </c>
      <c r="E317" s="6" t="s">
        <v>35</v>
      </c>
      <c r="F317" s="6" t="s">
        <v>57</v>
      </c>
      <c r="G317" s="6" t="s">
        <v>261</v>
      </c>
      <c r="H317" s="6" t="s">
        <v>52</v>
      </c>
      <c r="I317" s="8">
        <v>1</v>
      </c>
      <c r="J317" s="8">
        <v>860</v>
      </c>
      <c r="K317" s="8">
        <v>20</v>
      </c>
      <c r="L317" s="9">
        <f t="shared" si="12"/>
        <v>688</v>
      </c>
      <c r="M317" s="9">
        <f t="shared" si="13"/>
        <v>447.2</v>
      </c>
      <c r="N317" s="9">
        <f t="shared" si="14"/>
        <v>240.8</v>
      </c>
    </row>
    <row r="318" spans="1:14">
      <c r="A318" s="2" t="s">
        <v>534</v>
      </c>
      <c r="B318" s="3">
        <v>45520</v>
      </c>
      <c r="C318" s="2" t="s">
        <v>15</v>
      </c>
      <c r="D318" s="2" t="s">
        <v>16</v>
      </c>
      <c r="E318" s="2" t="s">
        <v>35</v>
      </c>
      <c r="F318" s="2" t="s">
        <v>36</v>
      </c>
      <c r="G318" s="2" t="s">
        <v>123</v>
      </c>
      <c r="H318" s="2" t="s">
        <v>20</v>
      </c>
      <c r="I318" s="4">
        <v>2</v>
      </c>
      <c r="J318" s="4">
        <v>250</v>
      </c>
      <c r="K318" s="4">
        <v>15</v>
      </c>
      <c r="L318" s="5">
        <f t="shared" si="12"/>
        <v>425</v>
      </c>
      <c r="M318" s="5">
        <f t="shared" si="13"/>
        <v>276.25</v>
      </c>
      <c r="N318" s="5">
        <f t="shared" si="14"/>
        <v>148.75</v>
      </c>
    </row>
    <row r="319" spans="1:14">
      <c r="A319" s="6" t="s">
        <v>535</v>
      </c>
      <c r="B319" s="7">
        <v>45521</v>
      </c>
      <c r="C319" s="6" t="s">
        <v>15</v>
      </c>
      <c r="D319" s="6" t="s">
        <v>16</v>
      </c>
      <c r="E319" s="6" t="s">
        <v>35</v>
      </c>
      <c r="F319" s="6" t="s">
        <v>57</v>
      </c>
      <c r="G319" s="6" t="s">
        <v>536</v>
      </c>
      <c r="H319" s="6" t="s">
        <v>20</v>
      </c>
      <c r="I319" s="8">
        <v>1</v>
      </c>
      <c r="J319" s="8">
        <v>870</v>
      </c>
      <c r="K319" s="8">
        <v>10</v>
      </c>
      <c r="L319" s="9">
        <f t="shared" si="12"/>
        <v>783</v>
      </c>
      <c r="M319" s="9">
        <f t="shared" si="13"/>
        <v>508.95000000000005</v>
      </c>
      <c r="N319" s="9">
        <f t="shared" si="14"/>
        <v>274.04999999999995</v>
      </c>
    </row>
    <row r="320" spans="1:14">
      <c r="A320" s="2" t="s">
        <v>537</v>
      </c>
      <c r="B320" s="3">
        <v>45522</v>
      </c>
      <c r="C320" s="2" t="s">
        <v>33</v>
      </c>
      <c r="D320" s="2" t="s">
        <v>34</v>
      </c>
      <c r="E320" s="2" t="s">
        <v>17</v>
      </c>
      <c r="F320" s="2" t="s">
        <v>116</v>
      </c>
      <c r="G320" s="2" t="s">
        <v>185</v>
      </c>
      <c r="H320" s="2" t="s">
        <v>52</v>
      </c>
      <c r="I320" s="4">
        <v>1</v>
      </c>
      <c r="J320" s="4">
        <v>150</v>
      </c>
      <c r="K320" s="4">
        <v>20</v>
      </c>
      <c r="L320" s="5">
        <f t="shared" si="12"/>
        <v>120</v>
      </c>
      <c r="M320" s="5">
        <f t="shared" si="13"/>
        <v>78</v>
      </c>
      <c r="N320" s="5">
        <f t="shared" si="14"/>
        <v>42</v>
      </c>
    </row>
    <row r="321" spans="1:14">
      <c r="A321" s="6" t="s">
        <v>538</v>
      </c>
      <c r="B321" s="7">
        <v>45522</v>
      </c>
      <c r="C321" s="6" t="s">
        <v>33</v>
      </c>
      <c r="D321" s="6" t="s">
        <v>34</v>
      </c>
      <c r="E321" s="6" t="s">
        <v>17</v>
      </c>
      <c r="F321" s="6" t="s">
        <v>80</v>
      </c>
      <c r="G321" s="6" t="s">
        <v>291</v>
      </c>
      <c r="H321" s="6" t="s">
        <v>52</v>
      </c>
      <c r="I321" s="8">
        <v>5</v>
      </c>
      <c r="J321" s="8">
        <v>130</v>
      </c>
      <c r="K321" s="8">
        <v>10</v>
      </c>
      <c r="L321" s="9">
        <f t="shared" si="12"/>
        <v>585</v>
      </c>
      <c r="M321" s="9">
        <f t="shared" si="13"/>
        <v>380.25</v>
      </c>
      <c r="N321" s="9">
        <f t="shared" si="14"/>
        <v>204.75</v>
      </c>
    </row>
    <row r="322" spans="1:14">
      <c r="A322" s="2" t="s">
        <v>539</v>
      </c>
      <c r="B322" s="3">
        <v>45523</v>
      </c>
      <c r="C322" s="2" t="s">
        <v>33</v>
      </c>
      <c r="D322" s="2" t="s">
        <v>34</v>
      </c>
      <c r="E322" s="2" t="s">
        <v>24</v>
      </c>
      <c r="F322" s="2" t="s">
        <v>66</v>
      </c>
      <c r="G322" s="2" t="s">
        <v>540</v>
      </c>
      <c r="H322" s="2" t="s">
        <v>52</v>
      </c>
      <c r="I322" s="4">
        <v>2</v>
      </c>
      <c r="J322" s="4">
        <v>760</v>
      </c>
      <c r="K322" s="4">
        <v>10</v>
      </c>
      <c r="L322" s="5">
        <f t="shared" ref="L322:L385" si="15">I322*J322*(1-K322/100)</f>
        <v>1368</v>
      </c>
      <c r="M322" s="5">
        <f t="shared" ref="M322:M385" si="16">L322*0.65</f>
        <v>889.2</v>
      </c>
      <c r="N322" s="5">
        <f t="shared" ref="N322:N385" si="17">L322-M322</f>
        <v>478.79999999999995</v>
      </c>
    </row>
    <row r="323" spans="1:14">
      <c r="A323" s="6" t="s">
        <v>541</v>
      </c>
      <c r="B323" s="7">
        <v>45523</v>
      </c>
      <c r="C323" s="6" t="s">
        <v>33</v>
      </c>
      <c r="D323" s="6" t="s">
        <v>34</v>
      </c>
      <c r="E323" s="6" t="s">
        <v>35</v>
      </c>
      <c r="F323" s="6" t="s">
        <v>95</v>
      </c>
      <c r="G323" s="6" t="s">
        <v>64</v>
      </c>
      <c r="H323" s="6" t="s">
        <v>45</v>
      </c>
      <c r="I323" s="8">
        <v>2</v>
      </c>
      <c r="J323" s="8">
        <v>430</v>
      </c>
      <c r="K323" s="8">
        <v>10</v>
      </c>
      <c r="L323" s="9">
        <f t="shared" si="15"/>
        <v>774</v>
      </c>
      <c r="M323" s="9">
        <f t="shared" si="16"/>
        <v>503.1</v>
      </c>
      <c r="N323" s="9">
        <f t="shared" si="17"/>
        <v>270.89999999999998</v>
      </c>
    </row>
    <row r="324" spans="1:14">
      <c r="A324" s="2" t="s">
        <v>542</v>
      </c>
      <c r="B324" s="3">
        <v>45523</v>
      </c>
      <c r="C324" s="2" t="s">
        <v>15</v>
      </c>
      <c r="D324" s="2" t="s">
        <v>16</v>
      </c>
      <c r="E324" s="2" t="s">
        <v>42</v>
      </c>
      <c r="F324" s="2" t="s">
        <v>199</v>
      </c>
      <c r="G324" s="2" t="s">
        <v>543</v>
      </c>
      <c r="H324" s="2" t="s">
        <v>52</v>
      </c>
      <c r="I324" s="4">
        <v>1</v>
      </c>
      <c r="J324" s="4">
        <v>320</v>
      </c>
      <c r="K324" s="4">
        <v>10</v>
      </c>
      <c r="L324" s="5">
        <f t="shared" si="15"/>
        <v>288</v>
      </c>
      <c r="M324" s="5">
        <f t="shared" si="16"/>
        <v>187.20000000000002</v>
      </c>
      <c r="N324" s="5">
        <f t="shared" si="17"/>
        <v>100.79999999999998</v>
      </c>
    </row>
    <row r="325" spans="1:14">
      <c r="A325" s="6" t="s">
        <v>544</v>
      </c>
      <c r="B325" s="7">
        <v>45525</v>
      </c>
      <c r="C325" s="6" t="s">
        <v>33</v>
      </c>
      <c r="D325" s="6" t="s">
        <v>34</v>
      </c>
      <c r="E325" s="6" t="s">
        <v>24</v>
      </c>
      <c r="F325" s="6" t="s">
        <v>39</v>
      </c>
      <c r="G325" s="6" t="s">
        <v>421</v>
      </c>
      <c r="H325" s="6" t="s">
        <v>52</v>
      </c>
      <c r="I325" s="8">
        <v>2</v>
      </c>
      <c r="J325" s="8">
        <v>1220</v>
      </c>
      <c r="K325" s="8">
        <v>15</v>
      </c>
      <c r="L325" s="9">
        <f t="shared" si="15"/>
        <v>2074</v>
      </c>
      <c r="M325" s="9">
        <f t="shared" si="16"/>
        <v>1348.1000000000001</v>
      </c>
      <c r="N325" s="9">
        <f t="shared" si="17"/>
        <v>725.89999999999986</v>
      </c>
    </row>
    <row r="326" spans="1:14">
      <c r="A326" s="2" t="s">
        <v>545</v>
      </c>
      <c r="B326" s="3">
        <v>45526</v>
      </c>
      <c r="C326" s="2" t="s">
        <v>33</v>
      </c>
      <c r="D326" s="2" t="s">
        <v>34</v>
      </c>
      <c r="E326" s="2" t="s">
        <v>42</v>
      </c>
      <c r="F326" s="2" t="s">
        <v>47</v>
      </c>
      <c r="G326" s="2" t="s">
        <v>213</v>
      </c>
      <c r="H326" s="2" t="s">
        <v>52</v>
      </c>
      <c r="I326" s="4">
        <v>2</v>
      </c>
      <c r="J326" s="4">
        <v>940</v>
      </c>
      <c r="K326" s="4">
        <v>15</v>
      </c>
      <c r="L326" s="5">
        <f t="shared" si="15"/>
        <v>1598</v>
      </c>
      <c r="M326" s="5">
        <f t="shared" si="16"/>
        <v>1038.7</v>
      </c>
      <c r="N326" s="5">
        <f t="shared" si="17"/>
        <v>559.29999999999995</v>
      </c>
    </row>
    <row r="327" spans="1:14">
      <c r="A327" s="6" t="s">
        <v>546</v>
      </c>
      <c r="B327" s="7">
        <v>45526</v>
      </c>
      <c r="C327" s="6" t="s">
        <v>22</v>
      </c>
      <c r="D327" s="6" t="s">
        <v>23</v>
      </c>
      <c r="E327" s="6" t="s">
        <v>24</v>
      </c>
      <c r="F327" s="6" t="s">
        <v>63</v>
      </c>
      <c r="G327" s="6" t="s">
        <v>493</v>
      </c>
      <c r="H327" s="6" t="s">
        <v>45</v>
      </c>
      <c r="I327" s="8">
        <v>4</v>
      </c>
      <c r="J327" s="8">
        <v>1350</v>
      </c>
      <c r="K327" s="8">
        <v>10</v>
      </c>
      <c r="L327" s="9">
        <f t="shared" si="15"/>
        <v>4860</v>
      </c>
      <c r="M327" s="9">
        <f t="shared" si="16"/>
        <v>3159</v>
      </c>
      <c r="N327" s="9">
        <f t="shared" si="17"/>
        <v>1701</v>
      </c>
    </row>
    <row r="328" spans="1:14">
      <c r="A328" s="2" t="s">
        <v>547</v>
      </c>
      <c r="B328" s="3">
        <v>45527</v>
      </c>
      <c r="C328" s="2" t="s">
        <v>107</v>
      </c>
      <c r="D328" s="2" t="s">
        <v>108</v>
      </c>
      <c r="E328" s="2" t="s">
        <v>17</v>
      </c>
      <c r="F328" s="2" t="s">
        <v>80</v>
      </c>
      <c r="G328" s="2" t="s">
        <v>19</v>
      </c>
      <c r="H328" s="2" t="s">
        <v>20</v>
      </c>
      <c r="I328" s="4">
        <v>4</v>
      </c>
      <c r="J328" s="4">
        <v>120</v>
      </c>
      <c r="K328" s="4">
        <v>15</v>
      </c>
      <c r="L328" s="5">
        <f t="shared" si="15"/>
        <v>408</v>
      </c>
      <c r="M328" s="5">
        <f t="shared" si="16"/>
        <v>265.2</v>
      </c>
      <c r="N328" s="5">
        <f t="shared" si="17"/>
        <v>142.80000000000001</v>
      </c>
    </row>
    <row r="329" spans="1:14">
      <c r="A329" s="6" t="s">
        <v>548</v>
      </c>
      <c r="B329" s="7">
        <v>45527</v>
      </c>
      <c r="C329" s="6" t="s">
        <v>15</v>
      </c>
      <c r="D329" s="6" t="s">
        <v>16</v>
      </c>
      <c r="E329" s="6" t="s">
        <v>42</v>
      </c>
      <c r="F329" s="6" t="s">
        <v>74</v>
      </c>
      <c r="G329" s="6" t="s">
        <v>549</v>
      </c>
      <c r="H329" s="6" t="s">
        <v>52</v>
      </c>
      <c r="I329" s="8">
        <v>2</v>
      </c>
      <c r="J329" s="8">
        <v>1280</v>
      </c>
      <c r="K329" s="8">
        <v>20</v>
      </c>
      <c r="L329" s="9">
        <f t="shared" si="15"/>
        <v>2048</v>
      </c>
      <c r="M329" s="9">
        <f t="shared" si="16"/>
        <v>1331.2</v>
      </c>
      <c r="N329" s="9">
        <f t="shared" si="17"/>
        <v>716.8</v>
      </c>
    </row>
    <row r="330" spans="1:14">
      <c r="A330" s="2" t="s">
        <v>550</v>
      </c>
      <c r="B330" s="3">
        <v>45528</v>
      </c>
      <c r="C330" s="2" t="s">
        <v>15</v>
      </c>
      <c r="D330" s="2" t="s">
        <v>16</v>
      </c>
      <c r="E330" s="2" t="s">
        <v>24</v>
      </c>
      <c r="F330" s="2" t="s">
        <v>63</v>
      </c>
      <c r="G330" s="2" t="s">
        <v>156</v>
      </c>
      <c r="H330" s="2" t="s">
        <v>20</v>
      </c>
      <c r="I330" s="4">
        <v>1</v>
      </c>
      <c r="J330" s="4">
        <v>1630</v>
      </c>
      <c r="K330" s="4">
        <v>10</v>
      </c>
      <c r="L330" s="5">
        <f t="shared" si="15"/>
        <v>1467</v>
      </c>
      <c r="M330" s="5">
        <f t="shared" si="16"/>
        <v>953.55000000000007</v>
      </c>
      <c r="N330" s="5">
        <f t="shared" si="17"/>
        <v>513.44999999999993</v>
      </c>
    </row>
    <row r="331" spans="1:14">
      <c r="A331" s="6" t="s">
        <v>551</v>
      </c>
      <c r="B331" s="7">
        <v>45528</v>
      </c>
      <c r="C331" s="6" t="s">
        <v>22</v>
      </c>
      <c r="D331" s="6" t="s">
        <v>23</v>
      </c>
      <c r="E331" s="6" t="s">
        <v>42</v>
      </c>
      <c r="F331" s="6" t="s">
        <v>199</v>
      </c>
      <c r="G331" s="6" t="s">
        <v>478</v>
      </c>
      <c r="H331" s="6" t="s">
        <v>45</v>
      </c>
      <c r="I331" s="8">
        <v>3</v>
      </c>
      <c r="J331" s="8">
        <v>360</v>
      </c>
      <c r="K331" s="8">
        <v>5</v>
      </c>
      <c r="L331" s="9">
        <f t="shared" si="15"/>
        <v>1026</v>
      </c>
      <c r="M331" s="9">
        <f t="shared" si="16"/>
        <v>666.9</v>
      </c>
      <c r="N331" s="9">
        <f t="shared" si="17"/>
        <v>359.1</v>
      </c>
    </row>
    <row r="332" spans="1:14">
      <c r="A332" s="2" t="s">
        <v>552</v>
      </c>
      <c r="B332" s="3">
        <v>45529</v>
      </c>
      <c r="C332" s="2" t="s">
        <v>22</v>
      </c>
      <c r="D332" s="2" t="s">
        <v>23</v>
      </c>
      <c r="E332" s="2" t="s">
        <v>17</v>
      </c>
      <c r="F332" s="2" t="s">
        <v>18</v>
      </c>
      <c r="G332" s="2" t="s">
        <v>332</v>
      </c>
      <c r="H332" s="2" t="s">
        <v>52</v>
      </c>
      <c r="I332" s="4">
        <v>2</v>
      </c>
      <c r="J332" s="4">
        <v>310</v>
      </c>
      <c r="K332" s="4">
        <v>20</v>
      </c>
      <c r="L332" s="5">
        <f t="shared" si="15"/>
        <v>496</v>
      </c>
      <c r="M332" s="5">
        <f t="shared" si="16"/>
        <v>322.40000000000003</v>
      </c>
      <c r="N332" s="5">
        <f t="shared" si="17"/>
        <v>173.59999999999997</v>
      </c>
    </row>
    <row r="333" spans="1:14">
      <c r="A333" s="6" t="s">
        <v>553</v>
      </c>
      <c r="B333" s="7">
        <v>45530</v>
      </c>
      <c r="C333" s="6" t="s">
        <v>15</v>
      </c>
      <c r="D333" s="6" t="s">
        <v>16</v>
      </c>
      <c r="E333" s="6" t="s">
        <v>35</v>
      </c>
      <c r="F333" s="6" t="s">
        <v>109</v>
      </c>
      <c r="G333" s="6" t="s">
        <v>531</v>
      </c>
      <c r="H333" s="6" t="s">
        <v>20</v>
      </c>
      <c r="I333" s="8">
        <v>1</v>
      </c>
      <c r="J333" s="8">
        <v>490</v>
      </c>
      <c r="K333" s="8">
        <v>5</v>
      </c>
      <c r="L333" s="9">
        <f t="shared" si="15"/>
        <v>465.5</v>
      </c>
      <c r="M333" s="9">
        <f t="shared" si="16"/>
        <v>302.57499999999999</v>
      </c>
      <c r="N333" s="9">
        <f t="shared" si="17"/>
        <v>162.92500000000001</v>
      </c>
    </row>
    <row r="334" spans="1:14">
      <c r="A334" s="2" t="s">
        <v>554</v>
      </c>
      <c r="B334" s="3">
        <v>45532</v>
      </c>
      <c r="C334" s="2" t="s">
        <v>28</v>
      </c>
      <c r="D334" s="2" t="s">
        <v>29</v>
      </c>
      <c r="E334" s="2" t="s">
        <v>42</v>
      </c>
      <c r="F334" s="2" t="s">
        <v>43</v>
      </c>
      <c r="G334" s="2" t="s">
        <v>152</v>
      </c>
      <c r="H334" s="2" t="s">
        <v>52</v>
      </c>
      <c r="I334" s="4">
        <v>2</v>
      </c>
      <c r="J334" s="4">
        <v>3160</v>
      </c>
      <c r="K334" s="4">
        <v>20</v>
      </c>
      <c r="L334" s="5">
        <f t="shared" si="15"/>
        <v>5056</v>
      </c>
      <c r="M334" s="5">
        <f t="shared" si="16"/>
        <v>3286.4</v>
      </c>
      <c r="N334" s="5">
        <f t="shared" si="17"/>
        <v>1769.6</v>
      </c>
    </row>
    <row r="335" spans="1:14">
      <c r="A335" s="6" t="s">
        <v>555</v>
      </c>
      <c r="B335" s="7">
        <v>45533</v>
      </c>
      <c r="C335" s="6" t="s">
        <v>107</v>
      </c>
      <c r="D335" s="6" t="s">
        <v>108</v>
      </c>
      <c r="E335" s="6" t="s">
        <v>35</v>
      </c>
      <c r="F335" s="6" t="s">
        <v>36</v>
      </c>
      <c r="G335" s="6" t="s">
        <v>556</v>
      </c>
      <c r="H335" s="6" t="s">
        <v>20</v>
      </c>
      <c r="I335" s="8">
        <v>4</v>
      </c>
      <c r="J335" s="8">
        <v>240</v>
      </c>
      <c r="K335" s="8">
        <v>5</v>
      </c>
      <c r="L335" s="9">
        <f t="shared" si="15"/>
        <v>912</v>
      </c>
      <c r="M335" s="9">
        <f t="shared" si="16"/>
        <v>592.80000000000007</v>
      </c>
      <c r="N335" s="9">
        <f t="shared" si="17"/>
        <v>319.19999999999993</v>
      </c>
    </row>
    <row r="336" spans="1:14">
      <c r="A336" s="2" t="s">
        <v>557</v>
      </c>
      <c r="B336" s="3">
        <v>45534</v>
      </c>
      <c r="C336" s="2" t="s">
        <v>28</v>
      </c>
      <c r="D336" s="2" t="s">
        <v>29</v>
      </c>
      <c r="E336" s="2" t="s">
        <v>35</v>
      </c>
      <c r="F336" s="2" t="s">
        <v>36</v>
      </c>
      <c r="G336" s="2" t="s">
        <v>558</v>
      </c>
      <c r="H336" s="2" t="s">
        <v>45</v>
      </c>
      <c r="I336" s="4">
        <v>5</v>
      </c>
      <c r="J336" s="4">
        <v>250</v>
      </c>
      <c r="K336" s="4">
        <v>5</v>
      </c>
      <c r="L336" s="5">
        <f t="shared" si="15"/>
        <v>1187.5</v>
      </c>
      <c r="M336" s="5">
        <f t="shared" si="16"/>
        <v>771.875</v>
      </c>
      <c r="N336" s="5">
        <f t="shared" si="17"/>
        <v>415.625</v>
      </c>
    </row>
    <row r="337" spans="1:14">
      <c r="A337" s="6" t="s">
        <v>559</v>
      </c>
      <c r="B337" s="7">
        <v>45534</v>
      </c>
      <c r="C337" s="6" t="s">
        <v>33</v>
      </c>
      <c r="D337" s="6" t="s">
        <v>34</v>
      </c>
      <c r="E337" s="6" t="s">
        <v>42</v>
      </c>
      <c r="F337" s="6" t="s">
        <v>113</v>
      </c>
      <c r="G337" s="6" t="s">
        <v>75</v>
      </c>
      <c r="H337" s="6" t="s">
        <v>45</v>
      </c>
      <c r="I337" s="8">
        <v>2</v>
      </c>
      <c r="J337" s="8">
        <v>760</v>
      </c>
      <c r="K337" s="8">
        <v>5</v>
      </c>
      <c r="L337" s="9">
        <f t="shared" si="15"/>
        <v>1444</v>
      </c>
      <c r="M337" s="9">
        <f t="shared" si="16"/>
        <v>938.6</v>
      </c>
      <c r="N337" s="9">
        <f t="shared" si="17"/>
        <v>505.4</v>
      </c>
    </row>
    <row r="338" spans="1:14">
      <c r="A338" s="2" t="s">
        <v>560</v>
      </c>
      <c r="B338" s="3">
        <v>45534</v>
      </c>
      <c r="C338" s="2" t="s">
        <v>107</v>
      </c>
      <c r="D338" s="2" t="s">
        <v>108</v>
      </c>
      <c r="E338" s="2" t="s">
        <v>24</v>
      </c>
      <c r="F338" s="2" t="s">
        <v>71</v>
      </c>
      <c r="G338" s="2" t="s">
        <v>19</v>
      </c>
      <c r="H338" s="2" t="s">
        <v>45</v>
      </c>
      <c r="I338" s="4">
        <v>2</v>
      </c>
      <c r="J338" s="4">
        <v>940</v>
      </c>
      <c r="K338" s="4">
        <v>5</v>
      </c>
      <c r="L338" s="5">
        <f t="shared" si="15"/>
        <v>1786</v>
      </c>
      <c r="M338" s="5">
        <f t="shared" si="16"/>
        <v>1160.9000000000001</v>
      </c>
      <c r="N338" s="5">
        <f t="shared" si="17"/>
        <v>625.09999999999991</v>
      </c>
    </row>
    <row r="339" spans="1:14">
      <c r="A339" s="6" t="s">
        <v>561</v>
      </c>
      <c r="B339" s="7">
        <v>45536</v>
      </c>
      <c r="C339" s="6" t="s">
        <v>22</v>
      </c>
      <c r="D339" s="6" t="s">
        <v>23</v>
      </c>
      <c r="E339" s="6" t="s">
        <v>35</v>
      </c>
      <c r="F339" s="6" t="s">
        <v>109</v>
      </c>
      <c r="G339" s="6" t="s">
        <v>178</v>
      </c>
      <c r="H339" s="6" t="s">
        <v>52</v>
      </c>
      <c r="I339" s="8">
        <v>1</v>
      </c>
      <c r="J339" s="8">
        <v>490</v>
      </c>
      <c r="K339" s="8">
        <v>15</v>
      </c>
      <c r="L339" s="9">
        <f t="shared" si="15"/>
        <v>416.5</v>
      </c>
      <c r="M339" s="9">
        <f t="shared" si="16"/>
        <v>270.72500000000002</v>
      </c>
      <c r="N339" s="9">
        <f t="shared" si="17"/>
        <v>145.77499999999998</v>
      </c>
    </row>
    <row r="340" spans="1:14">
      <c r="A340" s="2" t="s">
        <v>562</v>
      </c>
      <c r="B340" s="3">
        <v>45536</v>
      </c>
      <c r="C340" s="2" t="s">
        <v>33</v>
      </c>
      <c r="D340" s="2" t="s">
        <v>34</v>
      </c>
      <c r="E340" s="2" t="s">
        <v>24</v>
      </c>
      <c r="F340" s="2" t="s">
        <v>125</v>
      </c>
      <c r="G340" s="2" t="s">
        <v>171</v>
      </c>
      <c r="H340" s="2" t="s">
        <v>20</v>
      </c>
      <c r="I340" s="4">
        <v>1</v>
      </c>
      <c r="J340" s="4">
        <v>480</v>
      </c>
      <c r="K340" s="4">
        <v>10</v>
      </c>
      <c r="L340" s="5">
        <f t="shared" si="15"/>
        <v>432</v>
      </c>
      <c r="M340" s="5">
        <f t="shared" si="16"/>
        <v>280.8</v>
      </c>
      <c r="N340" s="5">
        <f t="shared" si="17"/>
        <v>151.19999999999999</v>
      </c>
    </row>
    <row r="341" spans="1:14">
      <c r="A341" s="6" t="s">
        <v>563</v>
      </c>
      <c r="B341" s="7">
        <v>45536</v>
      </c>
      <c r="C341" s="6" t="s">
        <v>15</v>
      </c>
      <c r="D341" s="6" t="s">
        <v>16</v>
      </c>
      <c r="E341" s="6" t="s">
        <v>17</v>
      </c>
      <c r="F341" s="6" t="s">
        <v>30</v>
      </c>
      <c r="G341" s="6" t="s">
        <v>105</v>
      </c>
      <c r="H341" s="6" t="s">
        <v>20</v>
      </c>
      <c r="I341" s="8">
        <v>4</v>
      </c>
      <c r="J341" s="8">
        <v>260</v>
      </c>
      <c r="K341" s="8">
        <v>10</v>
      </c>
      <c r="L341" s="9">
        <f t="shared" si="15"/>
        <v>936</v>
      </c>
      <c r="M341" s="9">
        <f t="shared" si="16"/>
        <v>608.4</v>
      </c>
      <c r="N341" s="9">
        <f t="shared" si="17"/>
        <v>327.60000000000002</v>
      </c>
    </row>
    <row r="342" spans="1:14">
      <c r="A342" s="2" t="s">
        <v>564</v>
      </c>
      <c r="B342" s="3">
        <v>45538</v>
      </c>
      <c r="C342" s="2" t="s">
        <v>33</v>
      </c>
      <c r="D342" s="2" t="s">
        <v>34</v>
      </c>
      <c r="E342" s="2" t="s">
        <v>24</v>
      </c>
      <c r="F342" s="2" t="s">
        <v>125</v>
      </c>
      <c r="G342" s="2" t="s">
        <v>289</v>
      </c>
      <c r="H342" s="2" t="s">
        <v>52</v>
      </c>
      <c r="I342" s="4">
        <v>3</v>
      </c>
      <c r="J342" s="4">
        <v>450</v>
      </c>
      <c r="K342" s="4">
        <v>20</v>
      </c>
      <c r="L342" s="5">
        <f t="shared" si="15"/>
        <v>1080</v>
      </c>
      <c r="M342" s="5">
        <f t="shared" si="16"/>
        <v>702</v>
      </c>
      <c r="N342" s="5">
        <f t="shared" si="17"/>
        <v>378</v>
      </c>
    </row>
    <row r="343" spans="1:14">
      <c r="A343" s="6" t="s">
        <v>565</v>
      </c>
      <c r="B343" s="7">
        <v>45539</v>
      </c>
      <c r="C343" s="6" t="s">
        <v>22</v>
      </c>
      <c r="D343" s="6" t="s">
        <v>23</v>
      </c>
      <c r="E343" s="6" t="s">
        <v>24</v>
      </c>
      <c r="F343" s="6" t="s">
        <v>71</v>
      </c>
      <c r="G343" s="6" t="s">
        <v>566</v>
      </c>
      <c r="H343" s="6" t="s">
        <v>45</v>
      </c>
      <c r="I343" s="8">
        <v>2</v>
      </c>
      <c r="J343" s="8">
        <v>940</v>
      </c>
      <c r="K343" s="8">
        <v>10</v>
      </c>
      <c r="L343" s="9">
        <f t="shared" si="15"/>
        <v>1692</v>
      </c>
      <c r="M343" s="9">
        <f t="shared" si="16"/>
        <v>1099.8</v>
      </c>
      <c r="N343" s="9">
        <f t="shared" si="17"/>
        <v>592.20000000000005</v>
      </c>
    </row>
    <row r="344" spans="1:14">
      <c r="A344" s="2" t="s">
        <v>567</v>
      </c>
      <c r="B344" s="3">
        <v>45539</v>
      </c>
      <c r="C344" s="2" t="s">
        <v>33</v>
      </c>
      <c r="D344" s="2" t="s">
        <v>34</v>
      </c>
      <c r="E344" s="2" t="s">
        <v>42</v>
      </c>
      <c r="F344" s="2" t="s">
        <v>113</v>
      </c>
      <c r="G344" s="2" t="s">
        <v>421</v>
      </c>
      <c r="H344" s="2" t="s">
        <v>45</v>
      </c>
      <c r="I344" s="4">
        <v>1</v>
      </c>
      <c r="J344" s="4">
        <v>840</v>
      </c>
      <c r="K344" s="4">
        <v>0</v>
      </c>
      <c r="L344" s="5">
        <f t="shared" si="15"/>
        <v>840</v>
      </c>
      <c r="M344" s="5">
        <f t="shared" si="16"/>
        <v>546</v>
      </c>
      <c r="N344" s="5">
        <f t="shared" si="17"/>
        <v>294</v>
      </c>
    </row>
    <row r="345" spans="1:14">
      <c r="A345" s="6" t="s">
        <v>568</v>
      </c>
      <c r="B345" s="7">
        <v>45540</v>
      </c>
      <c r="C345" s="6" t="s">
        <v>107</v>
      </c>
      <c r="D345" s="6" t="s">
        <v>108</v>
      </c>
      <c r="E345" s="6" t="s">
        <v>24</v>
      </c>
      <c r="F345" s="6" t="s">
        <v>63</v>
      </c>
      <c r="G345" s="6" t="s">
        <v>26</v>
      </c>
      <c r="H345" s="6" t="s">
        <v>52</v>
      </c>
      <c r="I345" s="8">
        <v>1</v>
      </c>
      <c r="J345" s="8">
        <v>1420</v>
      </c>
      <c r="K345" s="8">
        <v>10</v>
      </c>
      <c r="L345" s="9">
        <f t="shared" si="15"/>
        <v>1278</v>
      </c>
      <c r="M345" s="9">
        <f t="shared" si="16"/>
        <v>830.7</v>
      </c>
      <c r="N345" s="9">
        <f t="shared" si="17"/>
        <v>447.29999999999995</v>
      </c>
    </row>
    <row r="346" spans="1:14">
      <c r="A346" s="2" t="s">
        <v>569</v>
      </c>
      <c r="B346" s="3">
        <v>45540</v>
      </c>
      <c r="C346" s="2" t="s">
        <v>107</v>
      </c>
      <c r="D346" s="2" t="s">
        <v>108</v>
      </c>
      <c r="E346" s="2" t="s">
        <v>17</v>
      </c>
      <c r="F346" s="2" t="s">
        <v>18</v>
      </c>
      <c r="G346" s="2" t="s">
        <v>527</v>
      </c>
      <c r="H346" s="2" t="s">
        <v>45</v>
      </c>
      <c r="I346" s="4">
        <v>1</v>
      </c>
      <c r="J346" s="4">
        <v>270</v>
      </c>
      <c r="K346" s="4">
        <v>10</v>
      </c>
      <c r="L346" s="5">
        <f t="shared" si="15"/>
        <v>243</v>
      </c>
      <c r="M346" s="5">
        <f t="shared" si="16"/>
        <v>157.95000000000002</v>
      </c>
      <c r="N346" s="5">
        <f t="shared" si="17"/>
        <v>85.049999999999983</v>
      </c>
    </row>
    <row r="347" spans="1:14">
      <c r="A347" s="6" t="s">
        <v>570</v>
      </c>
      <c r="B347" s="7">
        <v>45542</v>
      </c>
      <c r="C347" s="6" t="s">
        <v>15</v>
      </c>
      <c r="D347" s="6" t="s">
        <v>16</v>
      </c>
      <c r="E347" s="6" t="s">
        <v>35</v>
      </c>
      <c r="F347" s="6" t="s">
        <v>109</v>
      </c>
      <c r="G347" s="6" t="s">
        <v>178</v>
      </c>
      <c r="H347" s="6" t="s">
        <v>20</v>
      </c>
      <c r="I347" s="8">
        <v>2</v>
      </c>
      <c r="J347" s="8">
        <v>460</v>
      </c>
      <c r="K347" s="8">
        <v>15</v>
      </c>
      <c r="L347" s="9">
        <f t="shared" si="15"/>
        <v>782</v>
      </c>
      <c r="M347" s="9">
        <f t="shared" si="16"/>
        <v>508.3</v>
      </c>
      <c r="N347" s="9">
        <f t="shared" si="17"/>
        <v>273.7</v>
      </c>
    </row>
    <row r="348" spans="1:14">
      <c r="A348" s="2" t="s">
        <v>571</v>
      </c>
      <c r="B348" s="3">
        <v>45544</v>
      </c>
      <c r="C348" s="2" t="s">
        <v>28</v>
      </c>
      <c r="D348" s="2" t="s">
        <v>29</v>
      </c>
      <c r="E348" s="2" t="s">
        <v>35</v>
      </c>
      <c r="F348" s="2" t="s">
        <v>109</v>
      </c>
      <c r="G348" s="2" t="s">
        <v>295</v>
      </c>
      <c r="H348" s="2" t="s">
        <v>20</v>
      </c>
      <c r="I348" s="4">
        <v>2</v>
      </c>
      <c r="J348" s="4">
        <v>480</v>
      </c>
      <c r="K348" s="4">
        <v>10</v>
      </c>
      <c r="L348" s="5">
        <f t="shared" si="15"/>
        <v>864</v>
      </c>
      <c r="M348" s="5">
        <f t="shared" si="16"/>
        <v>561.6</v>
      </c>
      <c r="N348" s="5">
        <f t="shared" si="17"/>
        <v>302.39999999999998</v>
      </c>
    </row>
    <row r="349" spans="1:14">
      <c r="A349" s="6" t="s">
        <v>572</v>
      </c>
      <c r="B349" s="7">
        <v>45544</v>
      </c>
      <c r="C349" s="6" t="s">
        <v>107</v>
      </c>
      <c r="D349" s="6" t="s">
        <v>108</v>
      </c>
      <c r="E349" s="6" t="s">
        <v>42</v>
      </c>
      <c r="F349" s="6" t="s">
        <v>43</v>
      </c>
      <c r="G349" s="6" t="s">
        <v>263</v>
      </c>
      <c r="H349" s="6" t="s">
        <v>52</v>
      </c>
      <c r="I349" s="8">
        <v>2</v>
      </c>
      <c r="J349" s="8">
        <v>3660</v>
      </c>
      <c r="K349" s="8">
        <v>15</v>
      </c>
      <c r="L349" s="9">
        <f t="shared" si="15"/>
        <v>6222</v>
      </c>
      <c r="M349" s="9">
        <f t="shared" si="16"/>
        <v>4044.3</v>
      </c>
      <c r="N349" s="9">
        <f t="shared" si="17"/>
        <v>2177.6999999999998</v>
      </c>
    </row>
    <row r="350" spans="1:14">
      <c r="A350" s="2" t="s">
        <v>573</v>
      </c>
      <c r="B350" s="3">
        <v>45545</v>
      </c>
      <c r="C350" s="2" t="s">
        <v>33</v>
      </c>
      <c r="D350" s="2" t="s">
        <v>34</v>
      </c>
      <c r="E350" s="2" t="s">
        <v>24</v>
      </c>
      <c r="F350" s="2" t="s">
        <v>63</v>
      </c>
      <c r="G350" s="2" t="s">
        <v>543</v>
      </c>
      <c r="H350" s="2" t="s">
        <v>20</v>
      </c>
      <c r="I350" s="4">
        <v>4</v>
      </c>
      <c r="J350" s="4">
        <v>1410</v>
      </c>
      <c r="K350" s="4">
        <v>15</v>
      </c>
      <c r="L350" s="5">
        <f t="shared" si="15"/>
        <v>4794</v>
      </c>
      <c r="M350" s="5">
        <f t="shared" si="16"/>
        <v>3116.1</v>
      </c>
      <c r="N350" s="5">
        <f t="shared" si="17"/>
        <v>1677.9</v>
      </c>
    </row>
    <row r="351" spans="1:14">
      <c r="A351" s="6" t="s">
        <v>574</v>
      </c>
      <c r="B351" s="7">
        <v>45546</v>
      </c>
      <c r="C351" s="6" t="s">
        <v>33</v>
      </c>
      <c r="D351" s="6" t="s">
        <v>34</v>
      </c>
      <c r="E351" s="6" t="s">
        <v>17</v>
      </c>
      <c r="F351" s="6" t="s">
        <v>116</v>
      </c>
      <c r="G351" s="6" t="s">
        <v>343</v>
      </c>
      <c r="H351" s="6" t="s">
        <v>20</v>
      </c>
      <c r="I351" s="8">
        <v>5</v>
      </c>
      <c r="J351" s="8">
        <v>160</v>
      </c>
      <c r="K351" s="8">
        <v>5</v>
      </c>
      <c r="L351" s="9">
        <f t="shared" si="15"/>
        <v>760</v>
      </c>
      <c r="M351" s="9">
        <f t="shared" si="16"/>
        <v>494</v>
      </c>
      <c r="N351" s="9">
        <f t="shared" si="17"/>
        <v>266</v>
      </c>
    </row>
    <row r="352" spans="1:14">
      <c r="A352" s="2" t="s">
        <v>575</v>
      </c>
      <c r="B352" s="3">
        <v>45547</v>
      </c>
      <c r="C352" s="2" t="s">
        <v>22</v>
      </c>
      <c r="D352" s="2" t="s">
        <v>23</v>
      </c>
      <c r="E352" s="2" t="s">
        <v>35</v>
      </c>
      <c r="F352" s="2" t="s">
        <v>182</v>
      </c>
      <c r="G352" s="2" t="s">
        <v>543</v>
      </c>
      <c r="H352" s="2" t="s">
        <v>20</v>
      </c>
      <c r="I352" s="4">
        <v>1</v>
      </c>
      <c r="J352" s="4">
        <v>480</v>
      </c>
      <c r="K352" s="4">
        <v>15</v>
      </c>
      <c r="L352" s="5">
        <f t="shared" si="15"/>
        <v>408</v>
      </c>
      <c r="M352" s="5">
        <f t="shared" si="16"/>
        <v>265.2</v>
      </c>
      <c r="N352" s="5">
        <f t="shared" si="17"/>
        <v>142.80000000000001</v>
      </c>
    </row>
    <row r="353" spans="1:14">
      <c r="A353" s="6" t="s">
        <v>576</v>
      </c>
      <c r="B353" s="7">
        <v>45547</v>
      </c>
      <c r="C353" s="6" t="s">
        <v>22</v>
      </c>
      <c r="D353" s="6" t="s">
        <v>23</v>
      </c>
      <c r="E353" s="6" t="s">
        <v>17</v>
      </c>
      <c r="F353" s="6" t="s">
        <v>224</v>
      </c>
      <c r="G353" s="6" t="s">
        <v>265</v>
      </c>
      <c r="H353" s="6" t="s">
        <v>52</v>
      </c>
      <c r="I353" s="8">
        <v>2</v>
      </c>
      <c r="J353" s="8">
        <v>90</v>
      </c>
      <c r="K353" s="8">
        <v>15</v>
      </c>
      <c r="L353" s="9">
        <f t="shared" si="15"/>
        <v>153</v>
      </c>
      <c r="M353" s="9">
        <f t="shared" si="16"/>
        <v>99.45</v>
      </c>
      <c r="N353" s="9">
        <f t="shared" si="17"/>
        <v>53.55</v>
      </c>
    </row>
    <row r="354" spans="1:14">
      <c r="A354" s="2" t="s">
        <v>577</v>
      </c>
      <c r="B354" s="3">
        <v>45548</v>
      </c>
      <c r="C354" s="2" t="s">
        <v>22</v>
      </c>
      <c r="D354" s="2" t="s">
        <v>23</v>
      </c>
      <c r="E354" s="2" t="s">
        <v>35</v>
      </c>
      <c r="F354" s="2" t="s">
        <v>57</v>
      </c>
      <c r="G354" s="2" t="s">
        <v>578</v>
      </c>
      <c r="H354" s="2" t="s">
        <v>52</v>
      </c>
      <c r="I354" s="4">
        <v>3</v>
      </c>
      <c r="J354" s="4">
        <v>820</v>
      </c>
      <c r="K354" s="4">
        <v>20</v>
      </c>
      <c r="L354" s="5">
        <f t="shared" si="15"/>
        <v>1968</v>
      </c>
      <c r="M354" s="5">
        <f t="shared" si="16"/>
        <v>1279.2</v>
      </c>
      <c r="N354" s="5">
        <f t="shared" si="17"/>
        <v>688.8</v>
      </c>
    </row>
    <row r="355" spans="1:14">
      <c r="A355" s="6" t="s">
        <v>579</v>
      </c>
      <c r="B355" s="7">
        <v>45550</v>
      </c>
      <c r="C355" s="6" t="s">
        <v>28</v>
      </c>
      <c r="D355" s="6" t="s">
        <v>29</v>
      </c>
      <c r="E355" s="6" t="s">
        <v>17</v>
      </c>
      <c r="F355" s="6" t="s">
        <v>267</v>
      </c>
      <c r="G355" s="6" t="s">
        <v>580</v>
      </c>
      <c r="H355" s="6" t="s">
        <v>52</v>
      </c>
      <c r="I355" s="8">
        <v>1</v>
      </c>
      <c r="J355" s="8">
        <v>320</v>
      </c>
      <c r="K355" s="8">
        <v>15</v>
      </c>
      <c r="L355" s="9">
        <f t="shared" si="15"/>
        <v>272</v>
      </c>
      <c r="M355" s="9">
        <f t="shared" si="16"/>
        <v>176.8</v>
      </c>
      <c r="N355" s="9">
        <f t="shared" si="17"/>
        <v>95.199999999999989</v>
      </c>
    </row>
    <row r="356" spans="1:14">
      <c r="A356" s="2" t="s">
        <v>581</v>
      </c>
      <c r="B356" s="3">
        <v>45551</v>
      </c>
      <c r="C356" s="2" t="s">
        <v>22</v>
      </c>
      <c r="D356" s="2" t="s">
        <v>23</v>
      </c>
      <c r="E356" s="2" t="s">
        <v>42</v>
      </c>
      <c r="F356" s="2" t="s">
        <v>217</v>
      </c>
      <c r="G356" s="2" t="s">
        <v>438</v>
      </c>
      <c r="H356" s="2" t="s">
        <v>45</v>
      </c>
      <c r="I356" s="4">
        <v>1</v>
      </c>
      <c r="J356" s="4">
        <v>700</v>
      </c>
      <c r="K356" s="4">
        <v>0</v>
      </c>
      <c r="L356" s="5">
        <f t="shared" si="15"/>
        <v>700</v>
      </c>
      <c r="M356" s="5">
        <f t="shared" si="16"/>
        <v>455</v>
      </c>
      <c r="N356" s="5">
        <f t="shared" si="17"/>
        <v>245</v>
      </c>
    </row>
    <row r="357" spans="1:14">
      <c r="A357" s="6" t="s">
        <v>582</v>
      </c>
      <c r="B357" s="7">
        <v>45551</v>
      </c>
      <c r="C357" s="6" t="s">
        <v>22</v>
      </c>
      <c r="D357" s="6" t="s">
        <v>23</v>
      </c>
      <c r="E357" s="6" t="s">
        <v>35</v>
      </c>
      <c r="F357" s="6" t="s">
        <v>95</v>
      </c>
      <c r="G357" s="6" t="s">
        <v>496</v>
      </c>
      <c r="H357" s="6" t="s">
        <v>20</v>
      </c>
      <c r="I357" s="8">
        <v>2</v>
      </c>
      <c r="J357" s="8">
        <v>400</v>
      </c>
      <c r="K357" s="8">
        <v>10</v>
      </c>
      <c r="L357" s="9">
        <f t="shared" si="15"/>
        <v>720</v>
      </c>
      <c r="M357" s="9">
        <f t="shared" si="16"/>
        <v>468</v>
      </c>
      <c r="N357" s="9">
        <f t="shared" si="17"/>
        <v>252</v>
      </c>
    </row>
    <row r="358" spans="1:14">
      <c r="A358" s="2" t="s">
        <v>583</v>
      </c>
      <c r="B358" s="3">
        <v>45552</v>
      </c>
      <c r="C358" s="2" t="s">
        <v>15</v>
      </c>
      <c r="D358" s="2" t="s">
        <v>16</v>
      </c>
      <c r="E358" s="2" t="s">
        <v>24</v>
      </c>
      <c r="F358" s="2" t="s">
        <v>66</v>
      </c>
      <c r="G358" s="2" t="s">
        <v>164</v>
      </c>
      <c r="H358" s="2" t="s">
        <v>52</v>
      </c>
      <c r="I358" s="4">
        <v>2</v>
      </c>
      <c r="J358" s="4">
        <v>710</v>
      </c>
      <c r="K358" s="4">
        <v>20</v>
      </c>
      <c r="L358" s="5">
        <f t="shared" si="15"/>
        <v>1136</v>
      </c>
      <c r="M358" s="5">
        <f t="shared" si="16"/>
        <v>738.4</v>
      </c>
      <c r="N358" s="5">
        <f t="shared" si="17"/>
        <v>397.6</v>
      </c>
    </row>
    <row r="359" spans="1:14">
      <c r="A359" s="6" t="s">
        <v>584</v>
      </c>
      <c r="B359" s="7">
        <v>45552</v>
      </c>
      <c r="C359" s="6" t="s">
        <v>107</v>
      </c>
      <c r="D359" s="6" t="s">
        <v>108</v>
      </c>
      <c r="E359" s="6" t="s">
        <v>35</v>
      </c>
      <c r="F359" s="6" t="s">
        <v>95</v>
      </c>
      <c r="G359" s="6" t="s">
        <v>585</v>
      </c>
      <c r="H359" s="6" t="s">
        <v>20</v>
      </c>
      <c r="I359" s="8">
        <v>1</v>
      </c>
      <c r="J359" s="8">
        <v>410</v>
      </c>
      <c r="K359" s="8">
        <v>10</v>
      </c>
      <c r="L359" s="9">
        <f t="shared" si="15"/>
        <v>369</v>
      </c>
      <c r="M359" s="9">
        <f t="shared" si="16"/>
        <v>239.85</v>
      </c>
      <c r="N359" s="9">
        <f t="shared" si="17"/>
        <v>129.15</v>
      </c>
    </row>
    <row r="360" spans="1:14">
      <c r="A360" s="2" t="s">
        <v>586</v>
      </c>
      <c r="B360" s="3">
        <v>45555</v>
      </c>
      <c r="C360" s="2" t="s">
        <v>15</v>
      </c>
      <c r="D360" s="2" t="s">
        <v>16</v>
      </c>
      <c r="E360" s="2" t="s">
        <v>35</v>
      </c>
      <c r="F360" s="2" t="s">
        <v>60</v>
      </c>
      <c r="G360" s="2" t="s">
        <v>158</v>
      </c>
      <c r="H360" s="2" t="s">
        <v>45</v>
      </c>
      <c r="I360" s="4">
        <v>1</v>
      </c>
      <c r="J360" s="4">
        <v>690</v>
      </c>
      <c r="K360" s="4">
        <v>5</v>
      </c>
      <c r="L360" s="5">
        <f t="shared" si="15"/>
        <v>655.5</v>
      </c>
      <c r="M360" s="5">
        <f t="shared" si="16"/>
        <v>426.07499999999999</v>
      </c>
      <c r="N360" s="5">
        <f t="shared" si="17"/>
        <v>229.42500000000001</v>
      </c>
    </row>
    <row r="361" spans="1:14">
      <c r="A361" s="6" t="s">
        <v>587</v>
      </c>
      <c r="B361" s="7">
        <v>45558</v>
      </c>
      <c r="C361" s="6" t="s">
        <v>22</v>
      </c>
      <c r="D361" s="6" t="s">
        <v>23</v>
      </c>
      <c r="E361" s="6" t="s">
        <v>24</v>
      </c>
      <c r="F361" s="6" t="s">
        <v>54</v>
      </c>
      <c r="G361" s="6" t="s">
        <v>117</v>
      </c>
      <c r="H361" s="6" t="s">
        <v>52</v>
      </c>
      <c r="I361" s="8">
        <v>2</v>
      </c>
      <c r="J361" s="8">
        <v>340</v>
      </c>
      <c r="K361" s="8">
        <v>20</v>
      </c>
      <c r="L361" s="9">
        <f t="shared" si="15"/>
        <v>544</v>
      </c>
      <c r="M361" s="9">
        <f t="shared" si="16"/>
        <v>353.6</v>
      </c>
      <c r="N361" s="9">
        <f t="shared" si="17"/>
        <v>190.39999999999998</v>
      </c>
    </row>
    <row r="362" spans="1:14">
      <c r="A362" s="2" t="s">
        <v>588</v>
      </c>
      <c r="B362" s="3">
        <v>45558</v>
      </c>
      <c r="C362" s="2" t="s">
        <v>15</v>
      </c>
      <c r="D362" s="2" t="s">
        <v>16</v>
      </c>
      <c r="E362" s="2" t="s">
        <v>24</v>
      </c>
      <c r="F362" s="2" t="s">
        <v>25</v>
      </c>
      <c r="G362" s="2" t="s">
        <v>589</v>
      </c>
      <c r="H362" s="2" t="s">
        <v>45</v>
      </c>
      <c r="I362" s="4">
        <v>1</v>
      </c>
      <c r="J362" s="4">
        <v>760</v>
      </c>
      <c r="K362" s="4">
        <v>0</v>
      </c>
      <c r="L362" s="5">
        <f t="shared" si="15"/>
        <v>760</v>
      </c>
      <c r="M362" s="5">
        <f t="shared" si="16"/>
        <v>494</v>
      </c>
      <c r="N362" s="5">
        <f t="shared" si="17"/>
        <v>266</v>
      </c>
    </row>
    <row r="363" spans="1:14">
      <c r="A363" s="6" t="s">
        <v>590</v>
      </c>
      <c r="B363" s="7">
        <v>45559</v>
      </c>
      <c r="C363" s="6" t="s">
        <v>33</v>
      </c>
      <c r="D363" s="6" t="s">
        <v>34</v>
      </c>
      <c r="E363" s="6" t="s">
        <v>35</v>
      </c>
      <c r="F363" s="6" t="s">
        <v>57</v>
      </c>
      <c r="G363" s="6" t="s">
        <v>244</v>
      </c>
      <c r="H363" s="6" t="s">
        <v>20</v>
      </c>
      <c r="I363" s="8">
        <v>1</v>
      </c>
      <c r="J363" s="8">
        <v>890</v>
      </c>
      <c r="K363" s="8">
        <v>5</v>
      </c>
      <c r="L363" s="9">
        <f t="shared" si="15"/>
        <v>845.5</v>
      </c>
      <c r="M363" s="9">
        <f t="shared" si="16"/>
        <v>549.57500000000005</v>
      </c>
      <c r="N363" s="9">
        <f t="shared" si="17"/>
        <v>295.92499999999995</v>
      </c>
    </row>
    <row r="364" spans="1:14">
      <c r="A364" s="2" t="s">
        <v>591</v>
      </c>
      <c r="B364" s="3">
        <v>45559</v>
      </c>
      <c r="C364" s="2" t="s">
        <v>28</v>
      </c>
      <c r="D364" s="2" t="s">
        <v>29</v>
      </c>
      <c r="E364" s="2" t="s">
        <v>35</v>
      </c>
      <c r="F364" s="2" t="s">
        <v>57</v>
      </c>
      <c r="G364" s="2" t="s">
        <v>203</v>
      </c>
      <c r="H364" s="2" t="s">
        <v>52</v>
      </c>
      <c r="I364" s="4">
        <v>1</v>
      </c>
      <c r="J364" s="4">
        <v>860</v>
      </c>
      <c r="K364" s="4">
        <v>20</v>
      </c>
      <c r="L364" s="5">
        <f t="shared" si="15"/>
        <v>688</v>
      </c>
      <c r="M364" s="5">
        <f t="shared" si="16"/>
        <v>447.2</v>
      </c>
      <c r="N364" s="5">
        <f t="shared" si="17"/>
        <v>240.8</v>
      </c>
    </row>
    <row r="365" spans="1:14">
      <c r="A365" s="6" t="s">
        <v>592</v>
      </c>
      <c r="B365" s="7">
        <v>45559</v>
      </c>
      <c r="C365" s="6" t="s">
        <v>107</v>
      </c>
      <c r="D365" s="6" t="s">
        <v>108</v>
      </c>
      <c r="E365" s="6" t="s">
        <v>17</v>
      </c>
      <c r="F365" s="6" t="s">
        <v>206</v>
      </c>
      <c r="G365" s="6" t="s">
        <v>578</v>
      </c>
      <c r="H365" s="6" t="s">
        <v>20</v>
      </c>
      <c r="I365" s="8">
        <v>4</v>
      </c>
      <c r="J365" s="8">
        <v>90</v>
      </c>
      <c r="K365" s="8">
        <v>15</v>
      </c>
      <c r="L365" s="9">
        <f t="shared" si="15"/>
        <v>306</v>
      </c>
      <c r="M365" s="9">
        <f t="shared" si="16"/>
        <v>198.9</v>
      </c>
      <c r="N365" s="9">
        <f t="shared" si="17"/>
        <v>107.1</v>
      </c>
    </row>
    <row r="366" spans="1:14">
      <c r="A366" s="2" t="s">
        <v>593</v>
      </c>
      <c r="B366" s="3">
        <v>45562</v>
      </c>
      <c r="C366" s="2" t="s">
        <v>15</v>
      </c>
      <c r="D366" s="2" t="s">
        <v>16</v>
      </c>
      <c r="E366" s="2" t="s">
        <v>17</v>
      </c>
      <c r="F366" s="2" t="s">
        <v>116</v>
      </c>
      <c r="G366" s="2" t="s">
        <v>540</v>
      </c>
      <c r="H366" s="2" t="s">
        <v>45</v>
      </c>
      <c r="I366" s="4">
        <v>4</v>
      </c>
      <c r="J366" s="4">
        <v>160</v>
      </c>
      <c r="K366" s="4">
        <v>10</v>
      </c>
      <c r="L366" s="5">
        <f t="shared" si="15"/>
        <v>576</v>
      </c>
      <c r="M366" s="5">
        <f t="shared" si="16"/>
        <v>374.40000000000003</v>
      </c>
      <c r="N366" s="5">
        <f t="shared" si="17"/>
        <v>201.59999999999997</v>
      </c>
    </row>
    <row r="367" spans="1:14">
      <c r="A367" s="6" t="s">
        <v>594</v>
      </c>
      <c r="B367" s="7">
        <v>45562</v>
      </c>
      <c r="C367" s="6" t="s">
        <v>33</v>
      </c>
      <c r="D367" s="6" t="s">
        <v>34</v>
      </c>
      <c r="E367" s="6" t="s">
        <v>42</v>
      </c>
      <c r="F367" s="6" t="s">
        <v>43</v>
      </c>
      <c r="G367" s="6" t="s">
        <v>84</v>
      </c>
      <c r="H367" s="6" t="s">
        <v>52</v>
      </c>
      <c r="I367" s="8">
        <v>1</v>
      </c>
      <c r="J367" s="8">
        <v>3190</v>
      </c>
      <c r="K367" s="8">
        <v>20</v>
      </c>
      <c r="L367" s="9">
        <f t="shared" si="15"/>
        <v>2552</v>
      </c>
      <c r="M367" s="9">
        <f t="shared" si="16"/>
        <v>1658.8</v>
      </c>
      <c r="N367" s="9">
        <f t="shared" si="17"/>
        <v>893.2</v>
      </c>
    </row>
    <row r="368" spans="1:14">
      <c r="A368" s="2" t="s">
        <v>595</v>
      </c>
      <c r="B368" s="3">
        <v>45562</v>
      </c>
      <c r="C368" s="2" t="s">
        <v>15</v>
      </c>
      <c r="D368" s="2" t="s">
        <v>16</v>
      </c>
      <c r="E368" s="2" t="s">
        <v>24</v>
      </c>
      <c r="F368" s="2" t="s">
        <v>39</v>
      </c>
      <c r="G368" s="2" t="s">
        <v>402</v>
      </c>
      <c r="H368" s="2" t="s">
        <v>52</v>
      </c>
      <c r="I368" s="4">
        <v>2</v>
      </c>
      <c r="J368" s="4">
        <v>1300</v>
      </c>
      <c r="K368" s="4">
        <v>10</v>
      </c>
      <c r="L368" s="5">
        <f t="shared" si="15"/>
        <v>2340</v>
      </c>
      <c r="M368" s="5">
        <f t="shared" si="16"/>
        <v>1521</v>
      </c>
      <c r="N368" s="5">
        <f t="shared" si="17"/>
        <v>819</v>
      </c>
    </row>
    <row r="369" spans="1:14">
      <c r="A369" s="6" t="s">
        <v>596</v>
      </c>
      <c r="B369" s="7">
        <v>45562</v>
      </c>
      <c r="C369" s="6" t="s">
        <v>33</v>
      </c>
      <c r="D369" s="6" t="s">
        <v>34</v>
      </c>
      <c r="E369" s="6" t="s">
        <v>35</v>
      </c>
      <c r="F369" s="6" t="s">
        <v>50</v>
      </c>
      <c r="G369" s="6" t="s">
        <v>597</v>
      </c>
      <c r="H369" s="6" t="s">
        <v>20</v>
      </c>
      <c r="I369" s="8">
        <v>2</v>
      </c>
      <c r="J369" s="8">
        <v>300</v>
      </c>
      <c r="K369" s="8">
        <v>5</v>
      </c>
      <c r="L369" s="9">
        <f t="shared" si="15"/>
        <v>570</v>
      </c>
      <c r="M369" s="9">
        <f t="shared" si="16"/>
        <v>370.5</v>
      </c>
      <c r="N369" s="9">
        <f t="shared" si="17"/>
        <v>199.5</v>
      </c>
    </row>
    <row r="370" spans="1:14">
      <c r="A370" s="2" t="s">
        <v>598</v>
      </c>
      <c r="B370" s="3">
        <v>45563</v>
      </c>
      <c r="C370" s="2" t="s">
        <v>22</v>
      </c>
      <c r="D370" s="2" t="s">
        <v>23</v>
      </c>
      <c r="E370" s="2" t="s">
        <v>24</v>
      </c>
      <c r="F370" s="2" t="s">
        <v>54</v>
      </c>
      <c r="G370" s="2" t="s">
        <v>150</v>
      </c>
      <c r="H370" s="2" t="s">
        <v>52</v>
      </c>
      <c r="I370" s="4">
        <v>1</v>
      </c>
      <c r="J370" s="4">
        <v>340</v>
      </c>
      <c r="K370" s="4">
        <v>10</v>
      </c>
      <c r="L370" s="5">
        <f t="shared" si="15"/>
        <v>306</v>
      </c>
      <c r="M370" s="5">
        <f t="shared" si="16"/>
        <v>198.9</v>
      </c>
      <c r="N370" s="5">
        <f t="shared" si="17"/>
        <v>107.1</v>
      </c>
    </row>
    <row r="371" spans="1:14">
      <c r="A371" s="6" t="s">
        <v>599</v>
      </c>
      <c r="B371" s="7">
        <v>45563</v>
      </c>
      <c r="C371" s="6" t="s">
        <v>33</v>
      </c>
      <c r="D371" s="6" t="s">
        <v>34</v>
      </c>
      <c r="E371" s="6" t="s">
        <v>35</v>
      </c>
      <c r="F371" s="6" t="s">
        <v>109</v>
      </c>
      <c r="G371" s="6" t="s">
        <v>261</v>
      </c>
      <c r="H371" s="6" t="s">
        <v>52</v>
      </c>
      <c r="I371" s="8">
        <v>1</v>
      </c>
      <c r="J371" s="8">
        <v>460</v>
      </c>
      <c r="K371" s="8">
        <v>10</v>
      </c>
      <c r="L371" s="9">
        <f t="shared" si="15"/>
        <v>414</v>
      </c>
      <c r="M371" s="9">
        <f t="shared" si="16"/>
        <v>269.10000000000002</v>
      </c>
      <c r="N371" s="9">
        <f t="shared" si="17"/>
        <v>144.89999999999998</v>
      </c>
    </row>
    <row r="372" spans="1:14">
      <c r="A372" s="2" t="s">
        <v>600</v>
      </c>
      <c r="B372" s="3">
        <v>45563</v>
      </c>
      <c r="C372" s="2" t="s">
        <v>107</v>
      </c>
      <c r="D372" s="2" t="s">
        <v>108</v>
      </c>
      <c r="E372" s="2" t="s">
        <v>24</v>
      </c>
      <c r="F372" s="2" t="s">
        <v>125</v>
      </c>
      <c r="G372" s="2" t="s">
        <v>134</v>
      </c>
      <c r="H372" s="2" t="s">
        <v>20</v>
      </c>
      <c r="I372" s="4">
        <v>1</v>
      </c>
      <c r="J372" s="4">
        <v>460</v>
      </c>
      <c r="K372" s="4">
        <v>5</v>
      </c>
      <c r="L372" s="5">
        <f t="shared" si="15"/>
        <v>437</v>
      </c>
      <c r="M372" s="5">
        <f t="shared" si="16"/>
        <v>284.05</v>
      </c>
      <c r="N372" s="5">
        <f t="shared" si="17"/>
        <v>152.94999999999999</v>
      </c>
    </row>
    <row r="373" spans="1:14">
      <c r="A373" s="6" t="s">
        <v>601</v>
      </c>
      <c r="B373" s="7">
        <v>45563</v>
      </c>
      <c r="C373" s="6" t="s">
        <v>107</v>
      </c>
      <c r="D373" s="6" t="s">
        <v>108</v>
      </c>
      <c r="E373" s="6" t="s">
        <v>35</v>
      </c>
      <c r="F373" s="6" t="s">
        <v>104</v>
      </c>
      <c r="G373" s="6" t="s">
        <v>134</v>
      </c>
      <c r="H373" s="6" t="s">
        <v>20</v>
      </c>
      <c r="I373" s="8">
        <v>4</v>
      </c>
      <c r="J373" s="8">
        <v>1240</v>
      </c>
      <c r="K373" s="8">
        <v>10</v>
      </c>
      <c r="L373" s="9">
        <f t="shared" si="15"/>
        <v>4464</v>
      </c>
      <c r="M373" s="9">
        <f t="shared" si="16"/>
        <v>2901.6</v>
      </c>
      <c r="N373" s="9">
        <f t="shared" si="17"/>
        <v>1562.4</v>
      </c>
    </row>
    <row r="374" spans="1:14">
      <c r="A374" s="2" t="s">
        <v>602</v>
      </c>
      <c r="B374" s="3">
        <v>45563</v>
      </c>
      <c r="C374" s="2" t="s">
        <v>33</v>
      </c>
      <c r="D374" s="2" t="s">
        <v>34</v>
      </c>
      <c r="E374" s="2" t="s">
        <v>24</v>
      </c>
      <c r="F374" s="2" t="s">
        <v>71</v>
      </c>
      <c r="G374" s="2" t="s">
        <v>200</v>
      </c>
      <c r="H374" s="2" t="s">
        <v>45</v>
      </c>
      <c r="I374" s="4">
        <v>2</v>
      </c>
      <c r="J374" s="4">
        <v>830</v>
      </c>
      <c r="K374" s="4">
        <v>10</v>
      </c>
      <c r="L374" s="5">
        <f t="shared" si="15"/>
        <v>1494</v>
      </c>
      <c r="M374" s="5">
        <f t="shared" si="16"/>
        <v>971.1</v>
      </c>
      <c r="N374" s="5">
        <f t="shared" si="17"/>
        <v>522.9</v>
      </c>
    </row>
    <row r="375" spans="1:14">
      <c r="A375" s="6" t="s">
        <v>603</v>
      </c>
      <c r="B375" s="7">
        <v>45565</v>
      </c>
      <c r="C375" s="6" t="s">
        <v>28</v>
      </c>
      <c r="D375" s="6" t="s">
        <v>29</v>
      </c>
      <c r="E375" s="6" t="s">
        <v>17</v>
      </c>
      <c r="F375" s="6" t="s">
        <v>18</v>
      </c>
      <c r="G375" s="6" t="s">
        <v>558</v>
      </c>
      <c r="H375" s="6" t="s">
        <v>20</v>
      </c>
      <c r="I375" s="8">
        <v>1</v>
      </c>
      <c r="J375" s="8">
        <v>320</v>
      </c>
      <c r="K375" s="8">
        <v>15</v>
      </c>
      <c r="L375" s="9">
        <f t="shared" si="15"/>
        <v>272</v>
      </c>
      <c r="M375" s="9">
        <f t="shared" si="16"/>
        <v>176.8</v>
      </c>
      <c r="N375" s="9">
        <f t="shared" si="17"/>
        <v>95.199999999999989</v>
      </c>
    </row>
    <row r="376" spans="1:14">
      <c r="A376" s="2" t="s">
        <v>604</v>
      </c>
      <c r="B376" s="3">
        <v>45566</v>
      </c>
      <c r="C376" s="2" t="s">
        <v>107</v>
      </c>
      <c r="D376" s="2" t="s">
        <v>108</v>
      </c>
      <c r="E376" s="2" t="s">
        <v>24</v>
      </c>
      <c r="F376" s="2" t="s">
        <v>39</v>
      </c>
      <c r="G376" s="2" t="s">
        <v>605</v>
      </c>
      <c r="H376" s="2" t="s">
        <v>20</v>
      </c>
      <c r="I376" s="4">
        <v>5</v>
      </c>
      <c r="J376" s="4">
        <v>1260</v>
      </c>
      <c r="K376" s="4">
        <v>15</v>
      </c>
      <c r="L376" s="5">
        <f t="shared" si="15"/>
        <v>5355</v>
      </c>
      <c r="M376" s="5">
        <f t="shared" si="16"/>
        <v>3480.75</v>
      </c>
      <c r="N376" s="5">
        <f t="shared" si="17"/>
        <v>1874.25</v>
      </c>
    </row>
    <row r="377" spans="1:14">
      <c r="A377" s="6" t="s">
        <v>606</v>
      </c>
      <c r="B377" s="7">
        <v>45567</v>
      </c>
      <c r="C377" s="6" t="s">
        <v>22</v>
      </c>
      <c r="D377" s="6" t="s">
        <v>23</v>
      </c>
      <c r="E377" s="6" t="s">
        <v>24</v>
      </c>
      <c r="F377" s="6" t="s">
        <v>63</v>
      </c>
      <c r="G377" s="6" t="s">
        <v>607</v>
      </c>
      <c r="H377" s="6" t="s">
        <v>20</v>
      </c>
      <c r="I377" s="8">
        <v>1</v>
      </c>
      <c r="J377" s="8">
        <v>1410</v>
      </c>
      <c r="K377" s="8">
        <v>15</v>
      </c>
      <c r="L377" s="9">
        <f t="shared" si="15"/>
        <v>1198.5</v>
      </c>
      <c r="M377" s="9">
        <f t="shared" si="16"/>
        <v>779.02499999999998</v>
      </c>
      <c r="N377" s="9">
        <f t="shared" si="17"/>
        <v>419.47500000000002</v>
      </c>
    </row>
    <row r="378" spans="1:14">
      <c r="A378" s="2" t="s">
        <v>608</v>
      </c>
      <c r="B378" s="3">
        <v>45567</v>
      </c>
      <c r="C378" s="2" t="s">
        <v>107</v>
      </c>
      <c r="D378" s="2" t="s">
        <v>108</v>
      </c>
      <c r="E378" s="2" t="s">
        <v>24</v>
      </c>
      <c r="F378" s="2" t="s">
        <v>63</v>
      </c>
      <c r="G378" s="2" t="s">
        <v>77</v>
      </c>
      <c r="H378" s="2" t="s">
        <v>20</v>
      </c>
      <c r="I378" s="4">
        <v>2</v>
      </c>
      <c r="J378" s="4">
        <v>1440</v>
      </c>
      <c r="K378" s="4">
        <v>5</v>
      </c>
      <c r="L378" s="5">
        <f t="shared" si="15"/>
        <v>2736</v>
      </c>
      <c r="M378" s="5">
        <f t="shared" si="16"/>
        <v>1778.4</v>
      </c>
      <c r="N378" s="5">
        <f t="shared" si="17"/>
        <v>957.59999999999991</v>
      </c>
    </row>
    <row r="379" spans="1:14">
      <c r="A379" s="6" t="s">
        <v>609</v>
      </c>
      <c r="B379" s="7">
        <v>45568</v>
      </c>
      <c r="C379" s="6" t="s">
        <v>107</v>
      </c>
      <c r="D379" s="6" t="s">
        <v>108</v>
      </c>
      <c r="E379" s="6" t="s">
        <v>17</v>
      </c>
      <c r="F379" s="6" t="s">
        <v>116</v>
      </c>
      <c r="G379" s="6" t="s">
        <v>458</v>
      </c>
      <c r="H379" s="6" t="s">
        <v>20</v>
      </c>
      <c r="I379" s="8">
        <v>1</v>
      </c>
      <c r="J379" s="8">
        <v>140</v>
      </c>
      <c r="K379" s="8">
        <v>5</v>
      </c>
      <c r="L379" s="9">
        <f t="shared" si="15"/>
        <v>133</v>
      </c>
      <c r="M379" s="9">
        <f t="shared" si="16"/>
        <v>86.45</v>
      </c>
      <c r="N379" s="9">
        <f t="shared" si="17"/>
        <v>46.55</v>
      </c>
    </row>
    <row r="380" spans="1:14">
      <c r="A380" s="2" t="s">
        <v>610</v>
      </c>
      <c r="B380" s="3">
        <v>45568</v>
      </c>
      <c r="C380" s="2" t="s">
        <v>33</v>
      </c>
      <c r="D380" s="2" t="s">
        <v>34</v>
      </c>
      <c r="E380" s="2" t="s">
        <v>35</v>
      </c>
      <c r="F380" s="2" t="s">
        <v>36</v>
      </c>
      <c r="G380" s="2" t="s">
        <v>55</v>
      </c>
      <c r="H380" s="2" t="s">
        <v>20</v>
      </c>
      <c r="I380" s="4">
        <v>2</v>
      </c>
      <c r="J380" s="4">
        <v>260</v>
      </c>
      <c r="K380" s="4">
        <v>10</v>
      </c>
      <c r="L380" s="5">
        <f t="shared" si="15"/>
        <v>468</v>
      </c>
      <c r="M380" s="5">
        <f t="shared" si="16"/>
        <v>304.2</v>
      </c>
      <c r="N380" s="5">
        <f t="shared" si="17"/>
        <v>163.80000000000001</v>
      </c>
    </row>
    <row r="381" spans="1:14">
      <c r="A381" s="6" t="s">
        <v>611</v>
      </c>
      <c r="B381" s="7">
        <v>45569</v>
      </c>
      <c r="C381" s="6" t="s">
        <v>33</v>
      </c>
      <c r="D381" s="6" t="s">
        <v>34</v>
      </c>
      <c r="E381" s="6" t="s">
        <v>24</v>
      </c>
      <c r="F381" s="6" t="s">
        <v>63</v>
      </c>
      <c r="G381" s="6" t="s">
        <v>277</v>
      </c>
      <c r="H381" s="6" t="s">
        <v>45</v>
      </c>
      <c r="I381" s="8">
        <v>1</v>
      </c>
      <c r="J381" s="8">
        <v>1360</v>
      </c>
      <c r="K381" s="8">
        <v>10</v>
      </c>
      <c r="L381" s="9">
        <f t="shared" si="15"/>
        <v>1224</v>
      </c>
      <c r="M381" s="9">
        <f t="shared" si="16"/>
        <v>795.6</v>
      </c>
      <c r="N381" s="9">
        <f t="shared" si="17"/>
        <v>428.4</v>
      </c>
    </row>
    <row r="382" spans="1:14">
      <c r="A382" s="2" t="s">
        <v>612</v>
      </c>
      <c r="B382" s="3">
        <v>45571</v>
      </c>
      <c r="C382" s="2" t="s">
        <v>33</v>
      </c>
      <c r="D382" s="2" t="s">
        <v>34</v>
      </c>
      <c r="E382" s="2" t="s">
        <v>17</v>
      </c>
      <c r="F382" s="2" t="s">
        <v>116</v>
      </c>
      <c r="G382" s="2" t="s">
        <v>485</v>
      </c>
      <c r="H382" s="2" t="s">
        <v>45</v>
      </c>
      <c r="I382" s="4">
        <v>2</v>
      </c>
      <c r="J382" s="4">
        <v>140</v>
      </c>
      <c r="K382" s="4">
        <v>10</v>
      </c>
      <c r="L382" s="5">
        <f t="shared" si="15"/>
        <v>252</v>
      </c>
      <c r="M382" s="5">
        <f t="shared" si="16"/>
        <v>163.80000000000001</v>
      </c>
      <c r="N382" s="5">
        <f t="shared" si="17"/>
        <v>88.199999999999989</v>
      </c>
    </row>
    <row r="383" spans="1:14">
      <c r="A383" s="6" t="s">
        <v>613</v>
      </c>
      <c r="B383" s="7">
        <v>45572</v>
      </c>
      <c r="C383" s="6" t="s">
        <v>33</v>
      </c>
      <c r="D383" s="6" t="s">
        <v>34</v>
      </c>
      <c r="E383" s="6" t="s">
        <v>24</v>
      </c>
      <c r="F383" s="6" t="s">
        <v>39</v>
      </c>
      <c r="G383" s="6" t="s">
        <v>614</v>
      </c>
      <c r="H383" s="6" t="s">
        <v>45</v>
      </c>
      <c r="I383" s="8">
        <v>1</v>
      </c>
      <c r="J383" s="8">
        <v>1130</v>
      </c>
      <c r="K383" s="8">
        <v>10</v>
      </c>
      <c r="L383" s="9">
        <f t="shared" si="15"/>
        <v>1017</v>
      </c>
      <c r="M383" s="9">
        <f t="shared" si="16"/>
        <v>661.05000000000007</v>
      </c>
      <c r="N383" s="9">
        <f t="shared" si="17"/>
        <v>355.94999999999993</v>
      </c>
    </row>
    <row r="384" spans="1:14">
      <c r="A384" s="2" t="s">
        <v>615</v>
      </c>
      <c r="B384" s="3">
        <v>45573</v>
      </c>
      <c r="C384" s="2" t="s">
        <v>28</v>
      </c>
      <c r="D384" s="2" t="s">
        <v>29</v>
      </c>
      <c r="E384" s="2" t="s">
        <v>24</v>
      </c>
      <c r="F384" s="2" t="s">
        <v>39</v>
      </c>
      <c r="G384" s="2" t="s">
        <v>616</v>
      </c>
      <c r="H384" s="2" t="s">
        <v>52</v>
      </c>
      <c r="I384" s="4">
        <v>1</v>
      </c>
      <c r="J384" s="4">
        <v>1240</v>
      </c>
      <c r="K384" s="4">
        <v>15</v>
      </c>
      <c r="L384" s="5">
        <f t="shared" si="15"/>
        <v>1054</v>
      </c>
      <c r="M384" s="5">
        <f t="shared" si="16"/>
        <v>685.1</v>
      </c>
      <c r="N384" s="5">
        <f t="shared" si="17"/>
        <v>368.9</v>
      </c>
    </row>
    <row r="385" spans="1:14">
      <c r="A385" s="6" t="s">
        <v>617</v>
      </c>
      <c r="B385" s="7">
        <v>45573</v>
      </c>
      <c r="C385" s="6" t="s">
        <v>22</v>
      </c>
      <c r="D385" s="6" t="s">
        <v>23</v>
      </c>
      <c r="E385" s="6" t="s">
        <v>42</v>
      </c>
      <c r="F385" s="6" t="s">
        <v>43</v>
      </c>
      <c r="G385" s="6" t="s">
        <v>19</v>
      </c>
      <c r="H385" s="6" t="s">
        <v>52</v>
      </c>
      <c r="I385" s="8">
        <v>1</v>
      </c>
      <c r="J385" s="8">
        <v>3340</v>
      </c>
      <c r="K385" s="8">
        <v>10</v>
      </c>
      <c r="L385" s="9">
        <f t="shared" si="15"/>
        <v>3006</v>
      </c>
      <c r="M385" s="9">
        <f t="shared" si="16"/>
        <v>1953.9</v>
      </c>
      <c r="N385" s="9">
        <f t="shared" si="17"/>
        <v>1052.0999999999999</v>
      </c>
    </row>
    <row r="386" spans="1:14">
      <c r="A386" s="2" t="s">
        <v>618</v>
      </c>
      <c r="B386" s="3">
        <v>45574</v>
      </c>
      <c r="C386" s="2" t="s">
        <v>33</v>
      </c>
      <c r="D386" s="2" t="s">
        <v>34</v>
      </c>
      <c r="E386" s="2" t="s">
        <v>17</v>
      </c>
      <c r="F386" s="2" t="s">
        <v>30</v>
      </c>
      <c r="G386" s="2" t="s">
        <v>619</v>
      </c>
      <c r="H386" s="2" t="s">
        <v>20</v>
      </c>
      <c r="I386" s="4">
        <v>3</v>
      </c>
      <c r="J386" s="4">
        <v>260</v>
      </c>
      <c r="K386" s="4">
        <v>5</v>
      </c>
      <c r="L386" s="5">
        <f t="shared" ref="L386:L449" si="18">I386*J386*(1-K386/100)</f>
        <v>741</v>
      </c>
      <c r="M386" s="5">
        <f t="shared" ref="M386:M449" si="19">L386*0.65</f>
        <v>481.65000000000003</v>
      </c>
      <c r="N386" s="5">
        <f t="shared" ref="N386:N449" si="20">L386-M386</f>
        <v>259.34999999999997</v>
      </c>
    </row>
    <row r="387" spans="1:14">
      <c r="A387" s="6" t="s">
        <v>620</v>
      </c>
      <c r="B387" s="7">
        <v>45574</v>
      </c>
      <c r="C387" s="6" t="s">
        <v>15</v>
      </c>
      <c r="D387" s="6" t="s">
        <v>16</v>
      </c>
      <c r="E387" s="6" t="s">
        <v>24</v>
      </c>
      <c r="F387" s="6" t="s">
        <v>125</v>
      </c>
      <c r="G387" s="6" t="s">
        <v>55</v>
      </c>
      <c r="H387" s="6" t="s">
        <v>20</v>
      </c>
      <c r="I387" s="8">
        <v>1</v>
      </c>
      <c r="J387" s="8">
        <v>490</v>
      </c>
      <c r="K387" s="8">
        <v>5</v>
      </c>
      <c r="L387" s="9">
        <f t="shared" si="18"/>
        <v>465.5</v>
      </c>
      <c r="M387" s="9">
        <f t="shared" si="19"/>
        <v>302.57499999999999</v>
      </c>
      <c r="N387" s="9">
        <f t="shared" si="20"/>
        <v>162.92500000000001</v>
      </c>
    </row>
    <row r="388" spans="1:14">
      <c r="A388" s="2" t="s">
        <v>621</v>
      </c>
      <c r="B388" s="3">
        <v>45574</v>
      </c>
      <c r="C388" s="2" t="s">
        <v>33</v>
      </c>
      <c r="D388" s="2" t="s">
        <v>34</v>
      </c>
      <c r="E388" s="2" t="s">
        <v>17</v>
      </c>
      <c r="F388" s="2" t="s">
        <v>80</v>
      </c>
      <c r="G388" s="2" t="s">
        <v>543</v>
      </c>
      <c r="H388" s="2" t="s">
        <v>20</v>
      </c>
      <c r="I388" s="4">
        <v>2</v>
      </c>
      <c r="J388" s="4">
        <v>140</v>
      </c>
      <c r="K388" s="4">
        <v>10</v>
      </c>
      <c r="L388" s="5">
        <f t="shared" si="18"/>
        <v>252</v>
      </c>
      <c r="M388" s="5">
        <f t="shared" si="19"/>
        <v>163.80000000000001</v>
      </c>
      <c r="N388" s="5">
        <f t="shared" si="20"/>
        <v>88.199999999999989</v>
      </c>
    </row>
    <row r="389" spans="1:14">
      <c r="A389" s="6" t="s">
        <v>622</v>
      </c>
      <c r="B389" s="7">
        <v>45575</v>
      </c>
      <c r="C389" s="6" t="s">
        <v>107</v>
      </c>
      <c r="D389" s="6" t="s">
        <v>108</v>
      </c>
      <c r="E389" s="6" t="s">
        <v>17</v>
      </c>
      <c r="F389" s="6" t="s">
        <v>224</v>
      </c>
      <c r="G389" s="6" t="s">
        <v>623</v>
      </c>
      <c r="H389" s="6" t="s">
        <v>20</v>
      </c>
      <c r="I389" s="8">
        <v>2</v>
      </c>
      <c r="J389" s="8">
        <v>90</v>
      </c>
      <c r="K389" s="8">
        <v>10</v>
      </c>
      <c r="L389" s="9">
        <f t="shared" si="18"/>
        <v>162</v>
      </c>
      <c r="M389" s="9">
        <f t="shared" si="19"/>
        <v>105.3</v>
      </c>
      <c r="N389" s="9">
        <f t="shared" si="20"/>
        <v>56.7</v>
      </c>
    </row>
    <row r="390" spans="1:14">
      <c r="A390" s="2" t="s">
        <v>624</v>
      </c>
      <c r="B390" s="3">
        <v>45575</v>
      </c>
      <c r="C390" s="2" t="s">
        <v>22</v>
      </c>
      <c r="D390" s="2" t="s">
        <v>23</v>
      </c>
      <c r="E390" s="2" t="s">
        <v>17</v>
      </c>
      <c r="F390" s="2" t="s">
        <v>224</v>
      </c>
      <c r="G390" s="2" t="s">
        <v>625</v>
      </c>
      <c r="H390" s="2" t="s">
        <v>45</v>
      </c>
      <c r="I390" s="4">
        <v>2</v>
      </c>
      <c r="J390" s="4">
        <v>90</v>
      </c>
      <c r="K390" s="4">
        <v>5</v>
      </c>
      <c r="L390" s="5">
        <f t="shared" si="18"/>
        <v>171</v>
      </c>
      <c r="M390" s="5">
        <f t="shared" si="19"/>
        <v>111.15</v>
      </c>
      <c r="N390" s="5">
        <f t="shared" si="20"/>
        <v>59.849999999999994</v>
      </c>
    </row>
    <row r="391" spans="1:14">
      <c r="A391" s="6" t="s">
        <v>626</v>
      </c>
      <c r="B391" s="7">
        <v>45576</v>
      </c>
      <c r="C391" s="6" t="s">
        <v>22</v>
      </c>
      <c r="D391" s="6" t="s">
        <v>23</v>
      </c>
      <c r="E391" s="6" t="s">
        <v>24</v>
      </c>
      <c r="F391" s="6" t="s">
        <v>66</v>
      </c>
      <c r="G391" s="6" t="s">
        <v>180</v>
      </c>
      <c r="H391" s="6" t="s">
        <v>45</v>
      </c>
      <c r="I391" s="8">
        <v>1</v>
      </c>
      <c r="J391" s="8">
        <v>690</v>
      </c>
      <c r="K391" s="8">
        <v>0</v>
      </c>
      <c r="L391" s="9">
        <f t="shared" si="18"/>
        <v>690</v>
      </c>
      <c r="M391" s="9">
        <f t="shared" si="19"/>
        <v>448.5</v>
      </c>
      <c r="N391" s="9">
        <f t="shared" si="20"/>
        <v>241.5</v>
      </c>
    </row>
    <row r="392" spans="1:14">
      <c r="A392" s="2" t="s">
        <v>627</v>
      </c>
      <c r="B392" s="3">
        <v>45577</v>
      </c>
      <c r="C392" s="2" t="s">
        <v>107</v>
      </c>
      <c r="D392" s="2" t="s">
        <v>108</v>
      </c>
      <c r="E392" s="2" t="s">
        <v>17</v>
      </c>
      <c r="F392" s="2" t="s">
        <v>267</v>
      </c>
      <c r="G392" s="2" t="s">
        <v>628</v>
      </c>
      <c r="H392" s="2" t="s">
        <v>52</v>
      </c>
      <c r="I392" s="4">
        <v>2</v>
      </c>
      <c r="J392" s="4">
        <v>330</v>
      </c>
      <c r="K392" s="4">
        <v>10</v>
      </c>
      <c r="L392" s="5">
        <f t="shared" si="18"/>
        <v>594</v>
      </c>
      <c r="M392" s="5">
        <f t="shared" si="19"/>
        <v>386.1</v>
      </c>
      <c r="N392" s="5">
        <f t="shared" si="20"/>
        <v>207.89999999999998</v>
      </c>
    </row>
    <row r="393" spans="1:14">
      <c r="A393" s="6" t="s">
        <v>629</v>
      </c>
      <c r="B393" s="7">
        <v>45577</v>
      </c>
      <c r="C393" s="6" t="s">
        <v>33</v>
      </c>
      <c r="D393" s="6" t="s">
        <v>34</v>
      </c>
      <c r="E393" s="6" t="s">
        <v>42</v>
      </c>
      <c r="F393" s="6" t="s">
        <v>47</v>
      </c>
      <c r="G393" s="6" t="s">
        <v>458</v>
      </c>
      <c r="H393" s="6" t="s">
        <v>45</v>
      </c>
      <c r="I393" s="8">
        <v>1</v>
      </c>
      <c r="J393" s="8">
        <v>900</v>
      </c>
      <c r="K393" s="8">
        <v>10</v>
      </c>
      <c r="L393" s="9">
        <f t="shared" si="18"/>
        <v>810</v>
      </c>
      <c r="M393" s="9">
        <f t="shared" si="19"/>
        <v>526.5</v>
      </c>
      <c r="N393" s="9">
        <f t="shared" si="20"/>
        <v>283.5</v>
      </c>
    </row>
    <row r="394" spans="1:14">
      <c r="A394" s="2" t="s">
        <v>630</v>
      </c>
      <c r="B394" s="3">
        <v>45577</v>
      </c>
      <c r="C394" s="2" t="s">
        <v>22</v>
      </c>
      <c r="D394" s="2" t="s">
        <v>23</v>
      </c>
      <c r="E394" s="2" t="s">
        <v>24</v>
      </c>
      <c r="F394" s="2" t="s">
        <v>25</v>
      </c>
      <c r="G394" s="2" t="s">
        <v>631</v>
      </c>
      <c r="H394" s="2" t="s">
        <v>52</v>
      </c>
      <c r="I394" s="4">
        <v>4</v>
      </c>
      <c r="J394" s="4">
        <v>760</v>
      </c>
      <c r="K394" s="4">
        <v>20</v>
      </c>
      <c r="L394" s="5">
        <f t="shared" si="18"/>
        <v>2432</v>
      </c>
      <c r="M394" s="5">
        <f t="shared" si="19"/>
        <v>1580.8</v>
      </c>
      <c r="N394" s="5">
        <f t="shared" si="20"/>
        <v>851.2</v>
      </c>
    </row>
    <row r="395" spans="1:14">
      <c r="A395" s="6" t="s">
        <v>632</v>
      </c>
      <c r="B395" s="7">
        <v>45579</v>
      </c>
      <c r="C395" s="6" t="s">
        <v>107</v>
      </c>
      <c r="D395" s="6" t="s">
        <v>108</v>
      </c>
      <c r="E395" s="6" t="s">
        <v>35</v>
      </c>
      <c r="F395" s="6" t="s">
        <v>104</v>
      </c>
      <c r="G395" s="6" t="s">
        <v>144</v>
      </c>
      <c r="H395" s="6" t="s">
        <v>45</v>
      </c>
      <c r="I395" s="8">
        <v>2</v>
      </c>
      <c r="J395" s="8">
        <v>1300</v>
      </c>
      <c r="K395" s="8">
        <v>5</v>
      </c>
      <c r="L395" s="9">
        <f t="shared" si="18"/>
        <v>2470</v>
      </c>
      <c r="M395" s="9">
        <f t="shared" si="19"/>
        <v>1605.5</v>
      </c>
      <c r="N395" s="9">
        <f t="shared" si="20"/>
        <v>864.5</v>
      </c>
    </row>
    <row r="396" spans="1:14">
      <c r="A396" s="2" t="s">
        <v>633</v>
      </c>
      <c r="B396" s="3">
        <v>45580</v>
      </c>
      <c r="C396" s="2" t="s">
        <v>15</v>
      </c>
      <c r="D396" s="2" t="s">
        <v>16</v>
      </c>
      <c r="E396" s="2" t="s">
        <v>42</v>
      </c>
      <c r="F396" s="2" t="s">
        <v>47</v>
      </c>
      <c r="G396" s="2" t="s">
        <v>100</v>
      </c>
      <c r="H396" s="2" t="s">
        <v>45</v>
      </c>
      <c r="I396" s="4">
        <v>1</v>
      </c>
      <c r="J396" s="4">
        <v>930</v>
      </c>
      <c r="K396" s="4">
        <v>5</v>
      </c>
      <c r="L396" s="5">
        <f t="shared" si="18"/>
        <v>883.5</v>
      </c>
      <c r="M396" s="5">
        <f t="shared" si="19"/>
        <v>574.27499999999998</v>
      </c>
      <c r="N396" s="5">
        <f t="shared" si="20"/>
        <v>309.22500000000002</v>
      </c>
    </row>
    <row r="397" spans="1:14">
      <c r="A397" s="6" t="s">
        <v>634</v>
      </c>
      <c r="B397" s="7">
        <v>45580</v>
      </c>
      <c r="C397" s="6" t="s">
        <v>15</v>
      </c>
      <c r="D397" s="6" t="s">
        <v>16</v>
      </c>
      <c r="E397" s="6" t="s">
        <v>24</v>
      </c>
      <c r="F397" s="6" t="s">
        <v>66</v>
      </c>
      <c r="G397" s="6" t="s">
        <v>387</v>
      </c>
      <c r="H397" s="6" t="s">
        <v>52</v>
      </c>
      <c r="I397" s="8">
        <v>2</v>
      </c>
      <c r="J397" s="8">
        <v>640</v>
      </c>
      <c r="K397" s="8">
        <v>20</v>
      </c>
      <c r="L397" s="9">
        <f t="shared" si="18"/>
        <v>1024</v>
      </c>
      <c r="M397" s="9">
        <f t="shared" si="19"/>
        <v>665.6</v>
      </c>
      <c r="N397" s="9">
        <f t="shared" si="20"/>
        <v>358.4</v>
      </c>
    </row>
    <row r="398" spans="1:14">
      <c r="A398" s="2" t="s">
        <v>635</v>
      </c>
      <c r="B398" s="3">
        <v>45581</v>
      </c>
      <c r="C398" s="2" t="s">
        <v>15</v>
      </c>
      <c r="D398" s="2" t="s">
        <v>16</v>
      </c>
      <c r="E398" s="2" t="s">
        <v>17</v>
      </c>
      <c r="F398" s="2" t="s">
        <v>206</v>
      </c>
      <c r="G398" s="2" t="s">
        <v>255</v>
      </c>
      <c r="H398" s="2" t="s">
        <v>20</v>
      </c>
      <c r="I398" s="4">
        <v>1</v>
      </c>
      <c r="J398" s="4">
        <v>100</v>
      </c>
      <c r="K398" s="4">
        <v>10</v>
      </c>
      <c r="L398" s="5">
        <f t="shared" si="18"/>
        <v>90</v>
      </c>
      <c r="M398" s="5">
        <f t="shared" si="19"/>
        <v>58.5</v>
      </c>
      <c r="N398" s="5">
        <f t="shared" si="20"/>
        <v>31.5</v>
      </c>
    </row>
    <row r="399" spans="1:14">
      <c r="A399" s="6" t="s">
        <v>636</v>
      </c>
      <c r="B399" s="7">
        <v>45582</v>
      </c>
      <c r="C399" s="6" t="s">
        <v>22</v>
      </c>
      <c r="D399" s="6" t="s">
        <v>23</v>
      </c>
      <c r="E399" s="6" t="s">
        <v>42</v>
      </c>
      <c r="F399" s="6" t="s">
        <v>121</v>
      </c>
      <c r="G399" s="6" t="s">
        <v>275</v>
      </c>
      <c r="H399" s="6" t="s">
        <v>20</v>
      </c>
      <c r="I399" s="8">
        <v>2</v>
      </c>
      <c r="J399" s="8">
        <v>1770</v>
      </c>
      <c r="K399" s="8">
        <v>10</v>
      </c>
      <c r="L399" s="9">
        <f t="shared" si="18"/>
        <v>3186</v>
      </c>
      <c r="M399" s="9">
        <f t="shared" si="19"/>
        <v>2070.9</v>
      </c>
      <c r="N399" s="9">
        <f t="shared" si="20"/>
        <v>1115.0999999999999</v>
      </c>
    </row>
    <row r="400" spans="1:14">
      <c r="A400" s="2" t="s">
        <v>637</v>
      </c>
      <c r="B400" s="3">
        <v>45583</v>
      </c>
      <c r="C400" s="2" t="s">
        <v>15</v>
      </c>
      <c r="D400" s="2" t="s">
        <v>16</v>
      </c>
      <c r="E400" s="2" t="s">
        <v>24</v>
      </c>
      <c r="F400" s="2" t="s">
        <v>39</v>
      </c>
      <c r="G400" s="2" t="s">
        <v>397</v>
      </c>
      <c r="H400" s="2" t="s">
        <v>52</v>
      </c>
      <c r="I400" s="4">
        <v>1</v>
      </c>
      <c r="J400" s="4">
        <v>1290</v>
      </c>
      <c r="K400" s="4">
        <v>15</v>
      </c>
      <c r="L400" s="5">
        <f t="shared" si="18"/>
        <v>1096.5</v>
      </c>
      <c r="M400" s="5">
        <f t="shared" si="19"/>
        <v>712.72500000000002</v>
      </c>
      <c r="N400" s="5">
        <f t="shared" si="20"/>
        <v>383.77499999999998</v>
      </c>
    </row>
    <row r="401" spans="1:14">
      <c r="A401" s="6" t="s">
        <v>638</v>
      </c>
      <c r="B401" s="7">
        <v>45584</v>
      </c>
      <c r="C401" s="6" t="s">
        <v>33</v>
      </c>
      <c r="D401" s="6" t="s">
        <v>34</v>
      </c>
      <c r="E401" s="6" t="s">
        <v>17</v>
      </c>
      <c r="F401" s="6" t="s">
        <v>224</v>
      </c>
      <c r="G401" s="6" t="s">
        <v>200</v>
      </c>
      <c r="H401" s="6" t="s">
        <v>20</v>
      </c>
      <c r="I401" s="8">
        <v>1</v>
      </c>
      <c r="J401" s="8">
        <v>80</v>
      </c>
      <c r="K401" s="8">
        <v>15</v>
      </c>
      <c r="L401" s="9">
        <f t="shared" si="18"/>
        <v>68</v>
      </c>
      <c r="M401" s="9">
        <f t="shared" si="19"/>
        <v>44.2</v>
      </c>
      <c r="N401" s="9">
        <f t="shared" si="20"/>
        <v>23.799999999999997</v>
      </c>
    </row>
    <row r="402" spans="1:14">
      <c r="A402" s="2" t="s">
        <v>639</v>
      </c>
      <c r="B402" s="3">
        <v>45584</v>
      </c>
      <c r="C402" s="2" t="s">
        <v>28</v>
      </c>
      <c r="D402" s="2" t="s">
        <v>29</v>
      </c>
      <c r="E402" s="2" t="s">
        <v>42</v>
      </c>
      <c r="F402" s="2" t="s">
        <v>174</v>
      </c>
      <c r="G402" s="2" t="s">
        <v>19</v>
      </c>
      <c r="H402" s="2" t="s">
        <v>45</v>
      </c>
      <c r="I402" s="4">
        <v>5</v>
      </c>
      <c r="J402" s="4">
        <v>1620</v>
      </c>
      <c r="K402" s="4">
        <v>5</v>
      </c>
      <c r="L402" s="5">
        <f t="shared" si="18"/>
        <v>7695</v>
      </c>
      <c r="M402" s="5">
        <f t="shared" si="19"/>
        <v>5001.75</v>
      </c>
      <c r="N402" s="5">
        <f t="shared" si="20"/>
        <v>2693.25</v>
      </c>
    </row>
    <row r="403" spans="1:14">
      <c r="A403" s="6" t="s">
        <v>640</v>
      </c>
      <c r="B403" s="7">
        <v>45584</v>
      </c>
      <c r="C403" s="6" t="s">
        <v>22</v>
      </c>
      <c r="D403" s="6" t="s">
        <v>23</v>
      </c>
      <c r="E403" s="6" t="s">
        <v>24</v>
      </c>
      <c r="F403" s="6" t="s">
        <v>25</v>
      </c>
      <c r="G403" s="6" t="s">
        <v>304</v>
      </c>
      <c r="H403" s="6" t="s">
        <v>20</v>
      </c>
      <c r="I403" s="8">
        <v>2</v>
      </c>
      <c r="J403" s="8">
        <v>700</v>
      </c>
      <c r="K403" s="8">
        <v>5</v>
      </c>
      <c r="L403" s="9">
        <f t="shared" si="18"/>
        <v>1330</v>
      </c>
      <c r="M403" s="9">
        <f t="shared" si="19"/>
        <v>864.5</v>
      </c>
      <c r="N403" s="9">
        <f t="shared" si="20"/>
        <v>465.5</v>
      </c>
    </row>
    <row r="404" spans="1:14">
      <c r="A404" s="2" t="s">
        <v>641</v>
      </c>
      <c r="B404" s="3">
        <v>45584</v>
      </c>
      <c r="C404" s="2" t="s">
        <v>22</v>
      </c>
      <c r="D404" s="2" t="s">
        <v>23</v>
      </c>
      <c r="E404" s="2" t="s">
        <v>24</v>
      </c>
      <c r="F404" s="2" t="s">
        <v>66</v>
      </c>
      <c r="G404" s="2" t="s">
        <v>642</v>
      </c>
      <c r="H404" s="2" t="s">
        <v>45</v>
      </c>
      <c r="I404" s="4">
        <v>5</v>
      </c>
      <c r="J404" s="4">
        <v>760</v>
      </c>
      <c r="K404" s="4">
        <v>0</v>
      </c>
      <c r="L404" s="5">
        <f t="shared" si="18"/>
        <v>3800</v>
      </c>
      <c r="M404" s="5">
        <f t="shared" si="19"/>
        <v>2470</v>
      </c>
      <c r="N404" s="5">
        <f t="shared" si="20"/>
        <v>1330</v>
      </c>
    </row>
    <row r="405" spans="1:14">
      <c r="A405" s="6" t="s">
        <v>643</v>
      </c>
      <c r="B405" s="7">
        <v>45585</v>
      </c>
      <c r="C405" s="6" t="s">
        <v>107</v>
      </c>
      <c r="D405" s="6" t="s">
        <v>108</v>
      </c>
      <c r="E405" s="6" t="s">
        <v>35</v>
      </c>
      <c r="F405" s="6" t="s">
        <v>95</v>
      </c>
      <c r="G405" s="6" t="s">
        <v>614</v>
      </c>
      <c r="H405" s="6" t="s">
        <v>45</v>
      </c>
      <c r="I405" s="8">
        <v>2</v>
      </c>
      <c r="J405" s="8">
        <v>370</v>
      </c>
      <c r="K405" s="8">
        <v>10</v>
      </c>
      <c r="L405" s="9">
        <f t="shared" si="18"/>
        <v>666</v>
      </c>
      <c r="M405" s="9">
        <f t="shared" si="19"/>
        <v>432.90000000000003</v>
      </c>
      <c r="N405" s="9">
        <f t="shared" si="20"/>
        <v>233.09999999999997</v>
      </c>
    </row>
    <row r="406" spans="1:14">
      <c r="A406" s="2" t="s">
        <v>644</v>
      </c>
      <c r="B406" s="3">
        <v>45586</v>
      </c>
      <c r="C406" s="2" t="s">
        <v>107</v>
      </c>
      <c r="D406" s="2" t="s">
        <v>108</v>
      </c>
      <c r="E406" s="2" t="s">
        <v>24</v>
      </c>
      <c r="F406" s="2" t="s">
        <v>83</v>
      </c>
      <c r="G406" s="2" t="s">
        <v>242</v>
      </c>
      <c r="H406" s="2" t="s">
        <v>20</v>
      </c>
      <c r="I406" s="4">
        <v>2</v>
      </c>
      <c r="J406" s="4">
        <v>590</v>
      </c>
      <c r="K406" s="4">
        <v>5</v>
      </c>
      <c r="L406" s="5">
        <f t="shared" si="18"/>
        <v>1121</v>
      </c>
      <c r="M406" s="5">
        <f t="shared" si="19"/>
        <v>728.65</v>
      </c>
      <c r="N406" s="5">
        <f t="shared" si="20"/>
        <v>392.35</v>
      </c>
    </row>
    <row r="407" spans="1:14">
      <c r="A407" s="6" t="s">
        <v>645</v>
      </c>
      <c r="B407" s="7">
        <v>45586</v>
      </c>
      <c r="C407" s="6" t="s">
        <v>107</v>
      </c>
      <c r="D407" s="6" t="s">
        <v>108</v>
      </c>
      <c r="E407" s="6" t="s">
        <v>35</v>
      </c>
      <c r="F407" s="6" t="s">
        <v>109</v>
      </c>
      <c r="G407" s="6" t="s">
        <v>160</v>
      </c>
      <c r="H407" s="6" t="s">
        <v>20</v>
      </c>
      <c r="I407" s="8">
        <v>2</v>
      </c>
      <c r="J407" s="8">
        <v>440</v>
      </c>
      <c r="K407" s="8">
        <v>5</v>
      </c>
      <c r="L407" s="9">
        <f t="shared" si="18"/>
        <v>836</v>
      </c>
      <c r="M407" s="9">
        <f t="shared" si="19"/>
        <v>543.4</v>
      </c>
      <c r="N407" s="9">
        <f t="shared" si="20"/>
        <v>292.60000000000002</v>
      </c>
    </row>
    <row r="408" spans="1:14">
      <c r="A408" s="2" t="s">
        <v>646</v>
      </c>
      <c r="B408" s="3">
        <v>45590</v>
      </c>
      <c r="C408" s="2" t="s">
        <v>33</v>
      </c>
      <c r="D408" s="2" t="s">
        <v>34</v>
      </c>
      <c r="E408" s="2" t="s">
        <v>42</v>
      </c>
      <c r="F408" s="2" t="s">
        <v>174</v>
      </c>
      <c r="G408" s="2" t="s">
        <v>355</v>
      </c>
      <c r="H408" s="2" t="s">
        <v>52</v>
      </c>
      <c r="I408" s="4">
        <v>3</v>
      </c>
      <c r="J408" s="4">
        <v>1430</v>
      </c>
      <c r="K408" s="4">
        <v>20</v>
      </c>
      <c r="L408" s="5">
        <f t="shared" si="18"/>
        <v>3432</v>
      </c>
      <c r="M408" s="5">
        <f t="shared" si="19"/>
        <v>2230.8000000000002</v>
      </c>
      <c r="N408" s="5">
        <f t="shared" si="20"/>
        <v>1201.1999999999998</v>
      </c>
    </row>
    <row r="409" spans="1:14">
      <c r="A409" s="6" t="s">
        <v>647</v>
      </c>
      <c r="B409" s="7">
        <v>45590</v>
      </c>
      <c r="C409" s="6" t="s">
        <v>22</v>
      </c>
      <c r="D409" s="6" t="s">
        <v>23</v>
      </c>
      <c r="E409" s="6" t="s">
        <v>42</v>
      </c>
      <c r="F409" s="6" t="s">
        <v>174</v>
      </c>
      <c r="G409" s="6" t="s">
        <v>89</v>
      </c>
      <c r="H409" s="6" t="s">
        <v>45</v>
      </c>
      <c r="I409" s="8">
        <v>2</v>
      </c>
      <c r="J409" s="8">
        <v>1620</v>
      </c>
      <c r="K409" s="8">
        <v>10</v>
      </c>
      <c r="L409" s="9">
        <f t="shared" si="18"/>
        <v>2916</v>
      </c>
      <c r="M409" s="9">
        <f t="shared" si="19"/>
        <v>1895.4</v>
      </c>
      <c r="N409" s="9">
        <f t="shared" si="20"/>
        <v>1020.5999999999999</v>
      </c>
    </row>
    <row r="410" spans="1:14">
      <c r="A410" s="2" t="s">
        <v>648</v>
      </c>
      <c r="B410" s="3">
        <v>45593</v>
      </c>
      <c r="C410" s="2" t="s">
        <v>33</v>
      </c>
      <c r="D410" s="2" t="s">
        <v>34</v>
      </c>
      <c r="E410" s="2" t="s">
        <v>42</v>
      </c>
      <c r="F410" s="2" t="s">
        <v>74</v>
      </c>
      <c r="G410" s="2" t="s">
        <v>566</v>
      </c>
      <c r="H410" s="2" t="s">
        <v>20</v>
      </c>
      <c r="I410" s="4">
        <v>2</v>
      </c>
      <c r="J410" s="4">
        <v>1240</v>
      </c>
      <c r="K410" s="4">
        <v>15</v>
      </c>
      <c r="L410" s="5">
        <f t="shared" si="18"/>
        <v>2108</v>
      </c>
      <c r="M410" s="5">
        <f t="shared" si="19"/>
        <v>1370.2</v>
      </c>
      <c r="N410" s="5">
        <f t="shared" si="20"/>
        <v>737.8</v>
      </c>
    </row>
    <row r="411" spans="1:14">
      <c r="A411" s="6" t="s">
        <v>649</v>
      </c>
      <c r="B411" s="7">
        <v>45593</v>
      </c>
      <c r="C411" s="6" t="s">
        <v>33</v>
      </c>
      <c r="D411" s="6" t="s">
        <v>34</v>
      </c>
      <c r="E411" s="6" t="s">
        <v>35</v>
      </c>
      <c r="F411" s="6" t="s">
        <v>36</v>
      </c>
      <c r="G411" s="6" t="s">
        <v>259</v>
      </c>
      <c r="H411" s="6" t="s">
        <v>52</v>
      </c>
      <c r="I411" s="8">
        <v>3</v>
      </c>
      <c r="J411" s="8">
        <v>250</v>
      </c>
      <c r="K411" s="8">
        <v>20</v>
      </c>
      <c r="L411" s="9">
        <f t="shared" si="18"/>
        <v>600</v>
      </c>
      <c r="M411" s="9">
        <f t="shared" si="19"/>
        <v>390</v>
      </c>
      <c r="N411" s="9">
        <f t="shared" si="20"/>
        <v>210</v>
      </c>
    </row>
    <row r="412" spans="1:14">
      <c r="A412" s="2" t="s">
        <v>650</v>
      </c>
      <c r="B412" s="3">
        <v>45594</v>
      </c>
      <c r="C412" s="2" t="s">
        <v>107</v>
      </c>
      <c r="D412" s="2" t="s">
        <v>108</v>
      </c>
      <c r="E412" s="2" t="s">
        <v>42</v>
      </c>
      <c r="F412" s="2" t="s">
        <v>199</v>
      </c>
      <c r="G412" s="2" t="s">
        <v>651</v>
      </c>
      <c r="H412" s="2" t="s">
        <v>20</v>
      </c>
      <c r="I412" s="4">
        <v>3</v>
      </c>
      <c r="J412" s="4">
        <v>350</v>
      </c>
      <c r="K412" s="4">
        <v>10</v>
      </c>
      <c r="L412" s="5">
        <f t="shared" si="18"/>
        <v>945</v>
      </c>
      <c r="M412" s="5">
        <f t="shared" si="19"/>
        <v>614.25</v>
      </c>
      <c r="N412" s="5">
        <f t="shared" si="20"/>
        <v>330.75</v>
      </c>
    </row>
    <row r="413" spans="1:14">
      <c r="A413" s="6" t="s">
        <v>652</v>
      </c>
      <c r="B413" s="7">
        <v>45595</v>
      </c>
      <c r="C413" s="6" t="s">
        <v>22</v>
      </c>
      <c r="D413" s="6" t="s">
        <v>23</v>
      </c>
      <c r="E413" s="6" t="s">
        <v>24</v>
      </c>
      <c r="F413" s="6" t="s">
        <v>125</v>
      </c>
      <c r="G413" s="6" t="s">
        <v>100</v>
      </c>
      <c r="H413" s="6" t="s">
        <v>52</v>
      </c>
      <c r="I413" s="8">
        <v>1</v>
      </c>
      <c r="J413" s="8">
        <v>540</v>
      </c>
      <c r="K413" s="8">
        <v>15</v>
      </c>
      <c r="L413" s="9">
        <f t="shared" si="18"/>
        <v>459</v>
      </c>
      <c r="M413" s="9">
        <f t="shared" si="19"/>
        <v>298.35000000000002</v>
      </c>
      <c r="N413" s="9">
        <f t="shared" si="20"/>
        <v>160.64999999999998</v>
      </c>
    </row>
    <row r="414" spans="1:14">
      <c r="A414" s="2" t="s">
        <v>653</v>
      </c>
      <c r="B414" s="3">
        <v>45597</v>
      </c>
      <c r="C414" s="2" t="s">
        <v>33</v>
      </c>
      <c r="D414" s="2" t="s">
        <v>34</v>
      </c>
      <c r="E414" s="2" t="s">
        <v>42</v>
      </c>
      <c r="F414" s="2" t="s">
        <v>113</v>
      </c>
      <c r="G414" s="2" t="s">
        <v>227</v>
      </c>
      <c r="H414" s="2" t="s">
        <v>45</v>
      </c>
      <c r="I414" s="4">
        <v>1</v>
      </c>
      <c r="J414" s="4">
        <v>770</v>
      </c>
      <c r="K414" s="4">
        <v>10</v>
      </c>
      <c r="L414" s="5">
        <f t="shared" si="18"/>
        <v>693</v>
      </c>
      <c r="M414" s="5">
        <f t="shared" si="19"/>
        <v>450.45</v>
      </c>
      <c r="N414" s="5">
        <f t="shared" si="20"/>
        <v>242.55</v>
      </c>
    </row>
    <row r="415" spans="1:14">
      <c r="A415" s="6" t="s">
        <v>654</v>
      </c>
      <c r="B415" s="7">
        <v>45597</v>
      </c>
      <c r="C415" s="6" t="s">
        <v>15</v>
      </c>
      <c r="D415" s="6" t="s">
        <v>16</v>
      </c>
      <c r="E415" s="6" t="s">
        <v>42</v>
      </c>
      <c r="F415" s="6" t="s">
        <v>217</v>
      </c>
      <c r="G415" s="6" t="s">
        <v>566</v>
      </c>
      <c r="H415" s="6" t="s">
        <v>52</v>
      </c>
      <c r="I415" s="8">
        <v>1</v>
      </c>
      <c r="J415" s="8">
        <v>620</v>
      </c>
      <c r="K415" s="8">
        <v>20</v>
      </c>
      <c r="L415" s="9">
        <f t="shared" si="18"/>
        <v>496</v>
      </c>
      <c r="M415" s="9">
        <f t="shared" si="19"/>
        <v>322.40000000000003</v>
      </c>
      <c r="N415" s="9">
        <f t="shared" si="20"/>
        <v>173.59999999999997</v>
      </c>
    </row>
    <row r="416" spans="1:14">
      <c r="A416" s="2" t="s">
        <v>655</v>
      </c>
      <c r="B416" s="3">
        <v>45599</v>
      </c>
      <c r="C416" s="2" t="s">
        <v>22</v>
      </c>
      <c r="D416" s="2" t="s">
        <v>23</v>
      </c>
      <c r="E416" s="2" t="s">
        <v>17</v>
      </c>
      <c r="F416" s="2" t="s">
        <v>267</v>
      </c>
      <c r="G416" s="2" t="s">
        <v>200</v>
      </c>
      <c r="H416" s="2" t="s">
        <v>52</v>
      </c>
      <c r="I416" s="4">
        <v>1</v>
      </c>
      <c r="J416" s="4">
        <v>370</v>
      </c>
      <c r="K416" s="4">
        <v>20</v>
      </c>
      <c r="L416" s="5">
        <f t="shared" si="18"/>
        <v>296</v>
      </c>
      <c r="M416" s="5">
        <f t="shared" si="19"/>
        <v>192.4</v>
      </c>
      <c r="N416" s="5">
        <f t="shared" si="20"/>
        <v>103.6</v>
      </c>
    </row>
    <row r="417" spans="1:14">
      <c r="A417" s="6" t="s">
        <v>656</v>
      </c>
      <c r="B417" s="7">
        <v>45599</v>
      </c>
      <c r="C417" s="6" t="s">
        <v>28</v>
      </c>
      <c r="D417" s="6" t="s">
        <v>29</v>
      </c>
      <c r="E417" s="6" t="s">
        <v>17</v>
      </c>
      <c r="F417" s="6" t="s">
        <v>18</v>
      </c>
      <c r="G417" s="6" t="s">
        <v>385</v>
      </c>
      <c r="H417" s="6" t="s">
        <v>20</v>
      </c>
      <c r="I417" s="8">
        <v>1</v>
      </c>
      <c r="J417" s="8">
        <v>280</v>
      </c>
      <c r="K417" s="8">
        <v>10</v>
      </c>
      <c r="L417" s="9">
        <f t="shared" si="18"/>
        <v>252</v>
      </c>
      <c r="M417" s="9">
        <f t="shared" si="19"/>
        <v>163.80000000000001</v>
      </c>
      <c r="N417" s="9">
        <f t="shared" si="20"/>
        <v>88.199999999999989</v>
      </c>
    </row>
    <row r="418" spans="1:14">
      <c r="A418" s="2" t="s">
        <v>657</v>
      </c>
      <c r="B418" s="3">
        <v>45600</v>
      </c>
      <c r="C418" s="2" t="s">
        <v>107</v>
      </c>
      <c r="D418" s="2" t="s">
        <v>108</v>
      </c>
      <c r="E418" s="2" t="s">
        <v>17</v>
      </c>
      <c r="F418" s="2" t="s">
        <v>116</v>
      </c>
      <c r="G418" s="2" t="s">
        <v>175</v>
      </c>
      <c r="H418" s="2" t="s">
        <v>52</v>
      </c>
      <c r="I418" s="4">
        <v>1</v>
      </c>
      <c r="J418" s="4">
        <v>150</v>
      </c>
      <c r="K418" s="4">
        <v>20</v>
      </c>
      <c r="L418" s="5">
        <f t="shared" si="18"/>
        <v>120</v>
      </c>
      <c r="M418" s="5">
        <f t="shared" si="19"/>
        <v>78</v>
      </c>
      <c r="N418" s="5">
        <f t="shared" si="20"/>
        <v>42</v>
      </c>
    </row>
    <row r="419" spans="1:14">
      <c r="A419" s="6" t="s">
        <v>658</v>
      </c>
      <c r="B419" s="7">
        <v>45600</v>
      </c>
      <c r="C419" s="6" t="s">
        <v>107</v>
      </c>
      <c r="D419" s="6" t="s">
        <v>108</v>
      </c>
      <c r="E419" s="6" t="s">
        <v>35</v>
      </c>
      <c r="F419" s="6" t="s">
        <v>109</v>
      </c>
      <c r="G419" s="6" t="s">
        <v>137</v>
      </c>
      <c r="H419" s="6" t="s">
        <v>52</v>
      </c>
      <c r="I419" s="8">
        <v>1</v>
      </c>
      <c r="J419" s="8">
        <v>420</v>
      </c>
      <c r="K419" s="8">
        <v>20</v>
      </c>
      <c r="L419" s="9">
        <f t="shared" si="18"/>
        <v>336</v>
      </c>
      <c r="M419" s="9">
        <f t="shared" si="19"/>
        <v>218.4</v>
      </c>
      <c r="N419" s="9">
        <f t="shared" si="20"/>
        <v>117.6</v>
      </c>
    </row>
    <row r="420" spans="1:14">
      <c r="A420" s="2" t="s">
        <v>659</v>
      </c>
      <c r="B420" s="3">
        <v>45601</v>
      </c>
      <c r="C420" s="2" t="s">
        <v>33</v>
      </c>
      <c r="D420" s="2" t="s">
        <v>34</v>
      </c>
      <c r="E420" s="2" t="s">
        <v>42</v>
      </c>
      <c r="F420" s="2" t="s">
        <v>121</v>
      </c>
      <c r="G420" s="2" t="s">
        <v>40</v>
      </c>
      <c r="H420" s="2" t="s">
        <v>52</v>
      </c>
      <c r="I420" s="4">
        <v>1</v>
      </c>
      <c r="J420" s="4">
        <v>1740</v>
      </c>
      <c r="K420" s="4">
        <v>10</v>
      </c>
      <c r="L420" s="5">
        <f t="shared" si="18"/>
        <v>1566</v>
      </c>
      <c r="M420" s="5">
        <f t="shared" si="19"/>
        <v>1017.9000000000001</v>
      </c>
      <c r="N420" s="5">
        <f t="shared" si="20"/>
        <v>548.09999999999991</v>
      </c>
    </row>
    <row r="421" spans="1:14">
      <c r="A421" s="6" t="s">
        <v>660</v>
      </c>
      <c r="B421" s="7">
        <v>45602</v>
      </c>
      <c r="C421" s="6" t="s">
        <v>33</v>
      </c>
      <c r="D421" s="6" t="s">
        <v>34</v>
      </c>
      <c r="E421" s="6" t="s">
        <v>35</v>
      </c>
      <c r="F421" s="6" t="s">
        <v>57</v>
      </c>
      <c r="G421" s="6" t="s">
        <v>661</v>
      </c>
      <c r="H421" s="6" t="s">
        <v>20</v>
      </c>
      <c r="I421" s="8">
        <v>3</v>
      </c>
      <c r="J421" s="8">
        <v>890</v>
      </c>
      <c r="K421" s="8">
        <v>15</v>
      </c>
      <c r="L421" s="9">
        <f t="shared" si="18"/>
        <v>2269.5</v>
      </c>
      <c r="M421" s="9">
        <f t="shared" si="19"/>
        <v>1475.175</v>
      </c>
      <c r="N421" s="9">
        <f t="shared" si="20"/>
        <v>794.32500000000005</v>
      </c>
    </row>
    <row r="422" spans="1:14">
      <c r="A422" s="2" t="s">
        <v>662</v>
      </c>
      <c r="B422" s="3">
        <v>45603</v>
      </c>
      <c r="C422" s="2" t="s">
        <v>22</v>
      </c>
      <c r="D422" s="2" t="s">
        <v>23</v>
      </c>
      <c r="E422" s="2" t="s">
        <v>35</v>
      </c>
      <c r="F422" s="2" t="s">
        <v>182</v>
      </c>
      <c r="G422" s="2" t="s">
        <v>171</v>
      </c>
      <c r="H422" s="2" t="s">
        <v>20</v>
      </c>
      <c r="I422" s="4">
        <v>1</v>
      </c>
      <c r="J422" s="4">
        <v>530</v>
      </c>
      <c r="K422" s="4">
        <v>10</v>
      </c>
      <c r="L422" s="5">
        <f t="shared" si="18"/>
        <v>477</v>
      </c>
      <c r="M422" s="5">
        <f t="shared" si="19"/>
        <v>310.05</v>
      </c>
      <c r="N422" s="5">
        <f t="shared" si="20"/>
        <v>166.95</v>
      </c>
    </row>
    <row r="423" spans="1:14">
      <c r="A423" s="6" t="s">
        <v>663</v>
      </c>
      <c r="B423" s="7">
        <v>45603</v>
      </c>
      <c r="C423" s="6" t="s">
        <v>28</v>
      </c>
      <c r="D423" s="6" t="s">
        <v>29</v>
      </c>
      <c r="E423" s="6" t="s">
        <v>42</v>
      </c>
      <c r="F423" s="6" t="s">
        <v>74</v>
      </c>
      <c r="G423" s="6" t="s">
        <v>75</v>
      </c>
      <c r="H423" s="6" t="s">
        <v>20</v>
      </c>
      <c r="I423" s="8">
        <v>1</v>
      </c>
      <c r="J423" s="8">
        <v>1190</v>
      </c>
      <c r="K423" s="8">
        <v>15</v>
      </c>
      <c r="L423" s="9">
        <f t="shared" si="18"/>
        <v>1011.5</v>
      </c>
      <c r="M423" s="9">
        <f t="shared" si="19"/>
        <v>657.47500000000002</v>
      </c>
      <c r="N423" s="9">
        <f t="shared" si="20"/>
        <v>354.02499999999998</v>
      </c>
    </row>
    <row r="424" spans="1:14">
      <c r="A424" s="2" t="s">
        <v>664</v>
      </c>
      <c r="B424" s="3">
        <v>45604</v>
      </c>
      <c r="C424" s="2" t="s">
        <v>33</v>
      </c>
      <c r="D424" s="2" t="s">
        <v>34</v>
      </c>
      <c r="E424" s="2" t="s">
        <v>35</v>
      </c>
      <c r="F424" s="2" t="s">
        <v>104</v>
      </c>
      <c r="G424" s="2" t="s">
        <v>193</v>
      </c>
      <c r="H424" s="2" t="s">
        <v>52</v>
      </c>
      <c r="I424" s="4">
        <v>3</v>
      </c>
      <c r="J424" s="4">
        <v>1310</v>
      </c>
      <c r="K424" s="4">
        <v>10</v>
      </c>
      <c r="L424" s="5">
        <f t="shared" si="18"/>
        <v>3537</v>
      </c>
      <c r="M424" s="5">
        <f t="shared" si="19"/>
        <v>2299.0500000000002</v>
      </c>
      <c r="N424" s="5">
        <f t="shared" si="20"/>
        <v>1237.9499999999998</v>
      </c>
    </row>
    <row r="425" spans="1:14">
      <c r="A425" s="6" t="s">
        <v>665</v>
      </c>
      <c r="B425" s="7">
        <v>45607</v>
      </c>
      <c r="C425" s="6" t="s">
        <v>33</v>
      </c>
      <c r="D425" s="6" t="s">
        <v>34</v>
      </c>
      <c r="E425" s="6" t="s">
        <v>35</v>
      </c>
      <c r="F425" s="6" t="s">
        <v>109</v>
      </c>
      <c r="G425" s="6" t="s">
        <v>666</v>
      </c>
      <c r="H425" s="6" t="s">
        <v>20</v>
      </c>
      <c r="I425" s="8">
        <v>1</v>
      </c>
      <c r="J425" s="8">
        <v>410</v>
      </c>
      <c r="K425" s="8">
        <v>5</v>
      </c>
      <c r="L425" s="9">
        <f t="shared" si="18"/>
        <v>389.5</v>
      </c>
      <c r="M425" s="9">
        <f t="shared" si="19"/>
        <v>253.17500000000001</v>
      </c>
      <c r="N425" s="9">
        <f t="shared" si="20"/>
        <v>136.32499999999999</v>
      </c>
    </row>
    <row r="426" spans="1:14">
      <c r="A426" s="2" t="s">
        <v>667</v>
      </c>
      <c r="B426" s="3">
        <v>45609</v>
      </c>
      <c r="C426" s="2" t="s">
        <v>107</v>
      </c>
      <c r="D426" s="2" t="s">
        <v>108</v>
      </c>
      <c r="E426" s="2" t="s">
        <v>24</v>
      </c>
      <c r="F426" s="2" t="s">
        <v>71</v>
      </c>
      <c r="G426" s="2" t="s">
        <v>330</v>
      </c>
      <c r="H426" s="2" t="s">
        <v>52</v>
      </c>
      <c r="I426" s="4">
        <v>1</v>
      </c>
      <c r="J426" s="4">
        <v>980</v>
      </c>
      <c r="K426" s="4">
        <v>20</v>
      </c>
      <c r="L426" s="5">
        <f t="shared" si="18"/>
        <v>784</v>
      </c>
      <c r="M426" s="5">
        <f t="shared" si="19"/>
        <v>509.6</v>
      </c>
      <c r="N426" s="5">
        <f t="shared" si="20"/>
        <v>274.39999999999998</v>
      </c>
    </row>
    <row r="427" spans="1:14">
      <c r="A427" s="6" t="s">
        <v>668</v>
      </c>
      <c r="B427" s="7">
        <v>45610</v>
      </c>
      <c r="C427" s="6" t="s">
        <v>22</v>
      </c>
      <c r="D427" s="6" t="s">
        <v>23</v>
      </c>
      <c r="E427" s="6" t="s">
        <v>42</v>
      </c>
      <c r="F427" s="6" t="s">
        <v>199</v>
      </c>
      <c r="G427" s="6" t="s">
        <v>669</v>
      </c>
      <c r="H427" s="6" t="s">
        <v>20</v>
      </c>
      <c r="I427" s="8">
        <v>1</v>
      </c>
      <c r="J427" s="8">
        <v>320</v>
      </c>
      <c r="K427" s="8">
        <v>10</v>
      </c>
      <c r="L427" s="9">
        <f t="shared" si="18"/>
        <v>288</v>
      </c>
      <c r="M427" s="9">
        <f t="shared" si="19"/>
        <v>187.20000000000002</v>
      </c>
      <c r="N427" s="9">
        <f t="shared" si="20"/>
        <v>100.79999999999998</v>
      </c>
    </row>
    <row r="428" spans="1:14">
      <c r="A428" s="2" t="s">
        <v>670</v>
      </c>
      <c r="B428" s="3">
        <v>45612</v>
      </c>
      <c r="C428" s="2" t="s">
        <v>28</v>
      </c>
      <c r="D428" s="2" t="s">
        <v>29</v>
      </c>
      <c r="E428" s="2" t="s">
        <v>24</v>
      </c>
      <c r="F428" s="2" t="s">
        <v>63</v>
      </c>
      <c r="G428" s="2" t="s">
        <v>368</v>
      </c>
      <c r="H428" s="2" t="s">
        <v>45</v>
      </c>
      <c r="I428" s="4">
        <v>1</v>
      </c>
      <c r="J428" s="4">
        <v>1380</v>
      </c>
      <c r="K428" s="4">
        <v>10</v>
      </c>
      <c r="L428" s="5">
        <f t="shared" si="18"/>
        <v>1242</v>
      </c>
      <c r="M428" s="5">
        <f t="shared" si="19"/>
        <v>807.30000000000007</v>
      </c>
      <c r="N428" s="5">
        <f t="shared" si="20"/>
        <v>434.69999999999993</v>
      </c>
    </row>
    <row r="429" spans="1:14">
      <c r="A429" s="6" t="s">
        <v>671</v>
      </c>
      <c r="B429" s="7">
        <v>45612</v>
      </c>
      <c r="C429" s="6" t="s">
        <v>15</v>
      </c>
      <c r="D429" s="6" t="s">
        <v>16</v>
      </c>
      <c r="E429" s="6" t="s">
        <v>42</v>
      </c>
      <c r="F429" s="6" t="s">
        <v>121</v>
      </c>
      <c r="G429" s="6" t="s">
        <v>195</v>
      </c>
      <c r="H429" s="6" t="s">
        <v>45</v>
      </c>
      <c r="I429" s="8">
        <v>2</v>
      </c>
      <c r="J429" s="8">
        <v>2030</v>
      </c>
      <c r="K429" s="8">
        <v>5</v>
      </c>
      <c r="L429" s="9">
        <f t="shared" si="18"/>
        <v>3857</v>
      </c>
      <c r="M429" s="9">
        <f t="shared" si="19"/>
        <v>2507.0500000000002</v>
      </c>
      <c r="N429" s="9">
        <f t="shared" si="20"/>
        <v>1349.9499999999998</v>
      </c>
    </row>
    <row r="430" spans="1:14">
      <c r="A430" s="2" t="s">
        <v>672</v>
      </c>
      <c r="B430" s="3">
        <v>45614</v>
      </c>
      <c r="C430" s="2" t="s">
        <v>22</v>
      </c>
      <c r="D430" s="2" t="s">
        <v>23</v>
      </c>
      <c r="E430" s="2" t="s">
        <v>24</v>
      </c>
      <c r="F430" s="2" t="s">
        <v>25</v>
      </c>
      <c r="G430" s="2" t="s">
        <v>466</v>
      </c>
      <c r="H430" s="2" t="s">
        <v>45</v>
      </c>
      <c r="I430" s="4">
        <v>2</v>
      </c>
      <c r="J430" s="4">
        <v>750</v>
      </c>
      <c r="K430" s="4">
        <v>0</v>
      </c>
      <c r="L430" s="5">
        <f t="shared" si="18"/>
        <v>1500</v>
      </c>
      <c r="M430" s="5">
        <f t="shared" si="19"/>
        <v>975</v>
      </c>
      <c r="N430" s="5">
        <f t="shared" si="20"/>
        <v>525</v>
      </c>
    </row>
    <row r="431" spans="1:14">
      <c r="A431" s="6" t="s">
        <v>673</v>
      </c>
      <c r="B431" s="7">
        <v>45614</v>
      </c>
      <c r="C431" s="6" t="s">
        <v>107</v>
      </c>
      <c r="D431" s="6" t="s">
        <v>108</v>
      </c>
      <c r="E431" s="6" t="s">
        <v>42</v>
      </c>
      <c r="F431" s="6" t="s">
        <v>74</v>
      </c>
      <c r="G431" s="6" t="s">
        <v>44</v>
      </c>
      <c r="H431" s="6" t="s">
        <v>20</v>
      </c>
      <c r="I431" s="8">
        <v>1</v>
      </c>
      <c r="J431" s="8">
        <v>1170</v>
      </c>
      <c r="K431" s="8">
        <v>15</v>
      </c>
      <c r="L431" s="9">
        <f t="shared" si="18"/>
        <v>994.5</v>
      </c>
      <c r="M431" s="9">
        <f t="shared" si="19"/>
        <v>646.42500000000007</v>
      </c>
      <c r="N431" s="9">
        <f t="shared" si="20"/>
        <v>348.07499999999993</v>
      </c>
    </row>
    <row r="432" spans="1:14">
      <c r="A432" s="2" t="s">
        <v>674</v>
      </c>
      <c r="B432" s="3">
        <v>45614</v>
      </c>
      <c r="C432" s="2" t="s">
        <v>15</v>
      </c>
      <c r="D432" s="2" t="s">
        <v>16</v>
      </c>
      <c r="E432" s="2" t="s">
        <v>17</v>
      </c>
      <c r="F432" s="2" t="s">
        <v>206</v>
      </c>
      <c r="G432" s="2" t="s">
        <v>485</v>
      </c>
      <c r="H432" s="2" t="s">
        <v>20</v>
      </c>
      <c r="I432" s="4">
        <v>2</v>
      </c>
      <c r="J432" s="4">
        <v>100</v>
      </c>
      <c r="K432" s="4">
        <v>15</v>
      </c>
      <c r="L432" s="5">
        <f t="shared" si="18"/>
        <v>170</v>
      </c>
      <c r="M432" s="5">
        <f t="shared" si="19"/>
        <v>110.5</v>
      </c>
      <c r="N432" s="5">
        <f t="shared" si="20"/>
        <v>59.5</v>
      </c>
    </row>
    <row r="433" spans="1:14">
      <c r="A433" s="6" t="s">
        <v>675</v>
      </c>
      <c r="B433" s="7">
        <v>45616</v>
      </c>
      <c r="C433" s="6" t="s">
        <v>28</v>
      </c>
      <c r="D433" s="6" t="s">
        <v>29</v>
      </c>
      <c r="E433" s="6" t="s">
        <v>24</v>
      </c>
      <c r="F433" s="6" t="s">
        <v>54</v>
      </c>
      <c r="G433" s="6" t="s">
        <v>146</v>
      </c>
      <c r="H433" s="6" t="s">
        <v>20</v>
      </c>
      <c r="I433" s="8">
        <v>4</v>
      </c>
      <c r="J433" s="8">
        <v>340</v>
      </c>
      <c r="K433" s="8">
        <v>5</v>
      </c>
      <c r="L433" s="9">
        <f t="shared" si="18"/>
        <v>1292</v>
      </c>
      <c r="M433" s="9">
        <f t="shared" si="19"/>
        <v>839.80000000000007</v>
      </c>
      <c r="N433" s="9">
        <f t="shared" si="20"/>
        <v>452.19999999999993</v>
      </c>
    </row>
    <row r="434" spans="1:14">
      <c r="A434" s="2" t="s">
        <v>676</v>
      </c>
      <c r="B434" s="3">
        <v>45616</v>
      </c>
      <c r="C434" s="2" t="s">
        <v>33</v>
      </c>
      <c r="D434" s="2" t="s">
        <v>34</v>
      </c>
      <c r="E434" s="2" t="s">
        <v>17</v>
      </c>
      <c r="F434" s="2" t="s">
        <v>116</v>
      </c>
      <c r="G434" s="2" t="s">
        <v>677</v>
      </c>
      <c r="H434" s="2" t="s">
        <v>20</v>
      </c>
      <c r="I434" s="4">
        <v>3</v>
      </c>
      <c r="J434" s="4">
        <v>140</v>
      </c>
      <c r="K434" s="4">
        <v>15</v>
      </c>
      <c r="L434" s="5">
        <f t="shared" si="18"/>
        <v>357</v>
      </c>
      <c r="M434" s="5">
        <f t="shared" si="19"/>
        <v>232.05</v>
      </c>
      <c r="N434" s="5">
        <f t="shared" si="20"/>
        <v>124.94999999999999</v>
      </c>
    </row>
    <row r="435" spans="1:14">
      <c r="A435" s="6" t="s">
        <v>678</v>
      </c>
      <c r="B435" s="7">
        <v>45618</v>
      </c>
      <c r="C435" s="6" t="s">
        <v>22</v>
      </c>
      <c r="D435" s="6" t="s">
        <v>23</v>
      </c>
      <c r="E435" s="6" t="s">
        <v>42</v>
      </c>
      <c r="F435" s="6" t="s">
        <v>121</v>
      </c>
      <c r="G435" s="6" t="s">
        <v>311</v>
      </c>
      <c r="H435" s="6" t="s">
        <v>45</v>
      </c>
      <c r="I435" s="8">
        <v>4</v>
      </c>
      <c r="J435" s="8">
        <v>2080</v>
      </c>
      <c r="K435" s="8">
        <v>10</v>
      </c>
      <c r="L435" s="9">
        <f t="shared" si="18"/>
        <v>7488</v>
      </c>
      <c r="M435" s="9">
        <f t="shared" si="19"/>
        <v>4867.2</v>
      </c>
      <c r="N435" s="9">
        <f t="shared" si="20"/>
        <v>2620.8000000000002</v>
      </c>
    </row>
    <row r="436" spans="1:14">
      <c r="A436" s="2" t="s">
        <v>679</v>
      </c>
      <c r="B436" s="3">
        <v>45619</v>
      </c>
      <c r="C436" s="2" t="s">
        <v>15</v>
      </c>
      <c r="D436" s="2" t="s">
        <v>16</v>
      </c>
      <c r="E436" s="2" t="s">
        <v>42</v>
      </c>
      <c r="F436" s="2" t="s">
        <v>199</v>
      </c>
      <c r="G436" s="2" t="s">
        <v>180</v>
      </c>
      <c r="H436" s="2" t="s">
        <v>20</v>
      </c>
      <c r="I436" s="4">
        <v>2</v>
      </c>
      <c r="J436" s="4">
        <v>330</v>
      </c>
      <c r="K436" s="4">
        <v>15</v>
      </c>
      <c r="L436" s="5">
        <f t="shared" si="18"/>
        <v>561</v>
      </c>
      <c r="M436" s="5">
        <f t="shared" si="19"/>
        <v>364.65000000000003</v>
      </c>
      <c r="N436" s="5">
        <f t="shared" si="20"/>
        <v>196.34999999999997</v>
      </c>
    </row>
    <row r="437" spans="1:14">
      <c r="A437" s="6" t="s">
        <v>680</v>
      </c>
      <c r="B437" s="7">
        <v>45619</v>
      </c>
      <c r="C437" s="6" t="s">
        <v>22</v>
      </c>
      <c r="D437" s="6" t="s">
        <v>23</v>
      </c>
      <c r="E437" s="6" t="s">
        <v>35</v>
      </c>
      <c r="F437" s="6" t="s">
        <v>182</v>
      </c>
      <c r="G437" s="6" t="s">
        <v>536</v>
      </c>
      <c r="H437" s="6" t="s">
        <v>20</v>
      </c>
      <c r="I437" s="8">
        <v>1</v>
      </c>
      <c r="J437" s="8">
        <v>460</v>
      </c>
      <c r="K437" s="8">
        <v>15</v>
      </c>
      <c r="L437" s="9">
        <f t="shared" si="18"/>
        <v>391</v>
      </c>
      <c r="M437" s="9">
        <f t="shared" si="19"/>
        <v>254.15</v>
      </c>
      <c r="N437" s="9">
        <f t="shared" si="20"/>
        <v>136.85</v>
      </c>
    </row>
    <row r="438" spans="1:14">
      <c r="A438" s="2" t="s">
        <v>681</v>
      </c>
      <c r="B438" s="3">
        <v>45619</v>
      </c>
      <c r="C438" s="2" t="s">
        <v>28</v>
      </c>
      <c r="D438" s="2" t="s">
        <v>29</v>
      </c>
      <c r="E438" s="2" t="s">
        <v>17</v>
      </c>
      <c r="F438" s="2" t="s">
        <v>80</v>
      </c>
      <c r="G438" s="2" t="s">
        <v>231</v>
      </c>
      <c r="H438" s="2" t="s">
        <v>20</v>
      </c>
      <c r="I438" s="4">
        <v>4</v>
      </c>
      <c r="J438" s="4">
        <v>130</v>
      </c>
      <c r="K438" s="4">
        <v>10</v>
      </c>
      <c r="L438" s="5">
        <f t="shared" si="18"/>
        <v>468</v>
      </c>
      <c r="M438" s="5">
        <f t="shared" si="19"/>
        <v>304.2</v>
      </c>
      <c r="N438" s="5">
        <f t="shared" si="20"/>
        <v>163.80000000000001</v>
      </c>
    </row>
    <row r="439" spans="1:14">
      <c r="A439" s="6" t="s">
        <v>682</v>
      </c>
      <c r="B439" s="7">
        <v>45619</v>
      </c>
      <c r="C439" s="6" t="s">
        <v>22</v>
      </c>
      <c r="D439" s="6" t="s">
        <v>23</v>
      </c>
      <c r="E439" s="6" t="s">
        <v>42</v>
      </c>
      <c r="F439" s="6" t="s">
        <v>174</v>
      </c>
      <c r="G439" s="6" t="s">
        <v>130</v>
      </c>
      <c r="H439" s="6" t="s">
        <v>45</v>
      </c>
      <c r="I439" s="8">
        <v>1</v>
      </c>
      <c r="J439" s="8">
        <v>1390</v>
      </c>
      <c r="K439" s="8">
        <v>5</v>
      </c>
      <c r="L439" s="9">
        <f t="shared" si="18"/>
        <v>1320.5</v>
      </c>
      <c r="M439" s="9">
        <f t="shared" si="19"/>
        <v>858.32500000000005</v>
      </c>
      <c r="N439" s="9">
        <f t="shared" si="20"/>
        <v>462.17499999999995</v>
      </c>
    </row>
    <row r="440" spans="1:14">
      <c r="A440" s="2" t="s">
        <v>683</v>
      </c>
      <c r="B440" s="3">
        <v>45620</v>
      </c>
      <c r="C440" s="2" t="s">
        <v>22</v>
      </c>
      <c r="D440" s="2" t="s">
        <v>23</v>
      </c>
      <c r="E440" s="2" t="s">
        <v>35</v>
      </c>
      <c r="F440" s="2" t="s">
        <v>36</v>
      </c>
      <c r="G440" s="2" t="s">
        <v>418</v>
      </c>
      <c r="H440" s="2" t="s">
        <v>45</v>
      </c>
      <c r="I440" s="4">
        <v>3</v>
      </c>
      <c r="J440" s="4">
        <v>270</v>
      </c>
      <c r="K440" s="4">
        <v>5</v>
      </c>
      <c r="L440" s="5">
        <f t="shared" si="18"/>
        <v>769.5</v>
      </c>
      <c r="M440" s="5">
        <f t="shared" si="19"/>
        <v>500.17500000000001</v>
      </c>
      <c r="N440" s="5">
        <f t="shared" si="20"/>
        <v>269.32499999999999</v>
      </c>
    </row>
    <row r="441" spans="1:14">
      <c r="A441" s="6" t="s">
        <v>684</v>
      </c>
      <c r="B441" s="7">
        <v>45620</v>
      </c>
      <c r="C441" s="6" t="s">
        <v>28</v>
      </c>
      <c r="D441" s="6" t="s">
        <v>29</v>
      </c>
      <c r="E441" s="6" t="s">
        <v>17</v>
      </c>
      <c r="F441" s="6" t="s">
        <v>206</v>
      </c>
      <c r="G441" s="6" t="s">
        <v>685</v>
      </c>
      <c r="H441" s="6" t="s">
        <v>20</v>
      </c>
      <c r="I441" s="8">
        <v>2</v>
      </c>
      <c r="J441" s="8">
        <v>100</v>
      </c>
      <c r="K441" s="8">
        <v>15</v>
      </c>
      <c r="L441" s="9">
        <f t="shared" si="18"/>
        <v>170</v>
      </c>
      <c r="M441" s="9">
        <f t="shared" si="19"/>
        <v>110.5</v>
      </c>
      <c r="N441" s="9">
        <f t="shared" si="20"/>
        <v>59.5</v>
      </c>
    </row>
    <row r="442" spans="1:14">
      <c r="A442" s="2" t="s">
        <v>686</v>
      </c>
      <c r="B442" s="3">
        <v>45620</v>
      </c>
      <c r="C442" s="2" t="s">
        <v>15</v>
      </c>
      <c r="D442" s="2" t="s">
        <v>16</v>
      </c>
      <c r="E442" s="2" t="s">
        <v>42</v>
      </c>
      <c r="F442" s="2" t="s">
        <v>43</v>
      </c>
      <c r="G442" s="2" t="s">
        <v>309</v>
      </c>
      <c r="H442" s="2" t="s">
        <v>45</v>
      </c>
      <c r="I442" s="4">
        <v>1</v>
      </c>
      <c r="J442" s="4">
        <v>3810</v>
      </c>
      <c r="K442" s="4">
        <v>0</v>
      </c>
      <c r="L442" s="5">
        <f t="shared" si="18"/>
        <v>3810</v>
      </c>
      <c r="M442" s="5">
        <f t="shared" si="19"/>
        <v>2476.5</v>
      </c>
      <c r="N442" s="5">
        <f t="shared" si="20"/>
        <v>1333.5</v>
      </c>
    </row>
    <row r="443" spans="1:14">
      <c r="A443" s="6" t="s">
        <v>687</v>
      </c>
      <c r="B443" s="7">
        <v>45620</v>
      </c>
      <c r="C443" s="6" t="s">
        <v>107</v>
      </c>
      <c r="D443" s="6" t="s">
        <v>108</v>
      </c>
      <c r="E443" s="6" t="s">
        <v>42</v>
      </c>
      <c r="F443" s="6" t="s">
        <v>121</v>
      </c>
      <c r="G443" s="6" t="s">
        <v>677</v>
      </c>
      <c r="H443" s="6" t="s">
        <v>20</v>
      </c>
      <c r="I443" s="8">
        <v>3</v>
      </c>
      <c r="J443" s="8">
        <v>1940</v>
      </c>
      <c r="K443" s="8">
        <v>15</v>
      </c>
      <c r="L443" s="9">
        <f t="shared" si="18"/>
        <v>4947</v>
      </c>
      <c r="M443" s="9">
        <f t="shared" si="19"/>
        <v>3215.55</v>
      </c>
      <c r="N443" s="9">
        <f t="shared" si="20"/>
        <v>1731.4499999999998</v>
      </c>
    </row>
    <row r="444" spans="1:14">
      <c r="A444" s="2" t="s">
        <v>688</v>
      </c>
      <c r="B444" s="3">
        <v>45620</v>
      </c>
      <c r="C444" s="2" t="s">
        <v>22</v>
      </c>
      <c r="D444" s="2" t="s">
        <v>23</v>
      </c>
      <c r="E444" s="2" t="s">
        <v>42</v>
      </c>
      <c r="F444" s="2" t="s">
        <v>121</v>
      </c>
      <c r="G444" s="2" t="s">
        <v>382</v>
      </c>
      <c r="H444" s="2" t="s">
        <v>20</v>
      </c>
      <c r="I444" s="4">
        <v>2</v>
      </c>
      <c r="J444" s="4">
        <v>1980</v>
      </c>
      <c r="K444" s="4">
        <v>10</v>
      </c>
      <c r="L444" s="5">
        <f t="shared" si="18"/>
        <v>3564</v>
      </c>
      <c r="M444" s="5">
        <f t="shared" si="19"/>
        <v>2316.6</v>
      </c>
      <c r="N444" s="5">
        <f t="shared" si="20"/>
        <v>1247.4000000000001</v>
      </c>
    </row>
    <row r="445" spans="1:14">
      <c r="A445" s="6" t="s">
        <v>689</v>
      </c>
      <c r="B445" s="7">
        <v>45621</v>
      </c>
      <c r="C445" s="6" t="s">
        <v>107</v>
      </c>
      <c r="D445" s="6" t="s">
        <v>108</v>
      </c>
      <c r="E445" s="6" t="s">
        <v>35</v>
      </c>
      <c r="F445" s="6" t="s">
        <v>57</v>
      </c>
      <c r="G445" s="6" t="s">
        <v>240</v>
      </c>
      <c r="H445" s="6" t="s">
        <v>52</v>
      </c>
      <c r="I445" s="8">
        <v>1</v>
      </c>
      <c r="J445" s="8">
        <v>970</v>
      </c>
      <c r="K445" s="8">
        <v>15</v>
      </c>
      <c r="L445" s="9">
        <f t="shared" si="18"/>
        <v>824.5</v>
      </c>
      <c r="M445" s="9">
        <f t="shared" si="19"/>
        <v>535.92500000000007</v>
      </c>
      <c r="N445" s="9">
        <f t="shared" si="20"/>
        <v>288.57499999999993</v>
      </c>
    </row>
    <row r="446" spans="1:14">
      <c r="A446" s="2" t="s">
        <v>690</v>
      </c>
      <c r="B446" s="3">
        <v>45622</v>
      </c>
      <c r="C446" s="2" t="s">
        <v>22</v>
      </c>
      <c r="D446" s="2" t="s">
        <v>23</v>
      </c>
      <c r="E446" s="2" t="s">
        <v>42</v>
      </c>
      <c r="F446" s="2" t="s">
        <v>199</v>
      </c>
      <c r="G446" s="2" t="s">
        <v>180</v>
      </c>
      <c r="H446" s="2" t="s">
        <v>52</v>
      </c>
      <c r="I446" s="4">
        <v>1</v>
      </c>
      <c r="J446" s="4">
        <v>370</v>
      </c>
      <c r="K446" s="4">
        <v>20</v>
      </c>
      <c r="L446" s="5">
        <f t="shared" si="18"/>
        <v>296</v>
      </c>
      <c r="M446" s="5">
        <f t="shared" si="19"/>
        <v>192.4</v>
      </c>
      <c r="N446" s="5">
        <f t="shared" si="20"/>
        <v>103.6</v>
      </c>
    </row>
    <row r="447" spans="1:14">
      <c r="A447" s="6" t="s">
        <v>691</v>
      </c>
      <c r="B447" s="7">
        <v>45623</v>
      </c>
      <c r="C447" s="6" t="s">
        <v>33</v>
      </c>
      <c r="D447" s="6" t="s">
        <v>34</v>
      </c>
      <c r="E447" s="6" t="s">
        <v>42</v>
      </c>
      <c r="F447" s="6" t="s">
        <v>217</v>
      </c>
      <c r="G447" s="6" t="s">
        <v>350</v>
      </c>
      <c r="H447" s="6" t="s">
        <v>20</v>
      </c>
      <c r="I447" s="8">
        <v>1</v>
      </c>
      <c r="J447" s="8">
        <v>600</v>
      </c>
      <c r="K447" s="8">
        <v>15</v>
      </c>
      <c r="L447" s="9">
        <f t="shared" si="18"/>
        <v>510</v>
      </c>
      <c r="M447" s="9">
        <f t="shared" si="19"/>
        <v>331.5</v>
      </c>
      <c r="N447" s="9">
        <f t="shared" si="20"/>
        <v>178.5</v>
      </c>
    </row>
    <row r="448" spans="1:14">
      <c r="A448" s="2" t="s">
        <v>692</v>
      </c>
      <c r="B448" s="3">
        <v>45623</v>
      </c>
      <c r="C448" s="2" t="s">
        <v>22</v>
      </c>
      <c r="D448" s="2" t="s">
        <v>23</v>
      </c>
      <c r="E448" s="2" t="s">
        <v>17</v>
      </c>
      <c r="F448" s="2" t="s">
        <v>224</v>
      </c>
      <c r="G448" s="2" t="s">
        <v>306</v>
      </c>
      <c r="H448" s="2" t="s">
        <v>45</v>
      </c>
      <c r="I448" s="4">
        <v>5</v>
      </c>
      <c r="J448" s="4">
        <v>90</v>
      </c>
      <c r="K448" s="4">
        <v>10</v>
      </c>
      <c r="L448" s="5">
        <f t="shared" si="18"/>
        <v>405</v>
      </c>
      <c r="M448" s="5">
        <f t="shared" si="19"/>
        <v>263.25</v>
      </c>
      <c r="N448" s="5">
        <f t="shared" si="20"/>
        <v>141.75</v>
      </c>
    </row>
    <row r="449" spans="1:14">
      <c r="A449" s="6" t="s">
        <v>693</v>
      </c>
      <c r="B449" s="7">
        <v>45624</v>
      </c>
      <c r="C449" s="6" t="s">
        <v>15</v>
      </c>
      <c r="D449" s="6" t="s">
        <v>16</v>
      </c>
      <c r="E449" s="6" t="s">
        <v>42</v>
      </c>
      <c r="F449" s="6" t="s">
        <v>217</v>
      </c>
      <c r="G449" s="6" t="s">
        <v>40</v>
      </c>
      <c r="H449" s="6" t="s">
        <v>20</v>
      </c>
      <c r="I449" s="8">
        <v>2</v>
      </c>
      <c r="J449" s="8">
        <v>640</v>
      </c>
      <c r="K449" s="8">
        <v>5</v>
      </c>
      <c r="L449" s="9">
        <f t="shared" si="18"/>
        <v>1216</v>
      </c>
      <c r="M449" s="9">
        <f t="shared" si="19"/>
        <v>790.4</v>
      </c>
      <c r="N449" s="9">
        <f t="shared" si="20"/>
        <v>425.6</v>
      </c>
    </row>
    <row r="450" spans="1:14">
      <c r="A450" s="2" t="s">
        <v>694</v>
      </c>
      <c r="B450" s="3">
        <v>45626</v>
      </c>
      <c r="C450" s="2" t="s">
        <v>28</v>
      </c>
      <c r="D450" s="2" t="s">
        <v>29</v>
      </c>
      <c r="E450" s="2" t="s">
        <v>17</v>
      </c>
      <c r="F450" s="2" t="s">
        <v>267</v>
      </c>
      <c r="G450" s="2" t="s">
        <v>695</v>
      </c>
      <c r="H450" s="2" t="s">
        <v>45</v>
      </c>
      <c r="I450" s="4">
        <v>1</v>
      </c>
      <c r="J450" s="4">
        <v>370</v>
      </c>
      <c r="K450" s="4">
        <v>5</v>
      </c>
      <c r="L450" s="5">
        <f t="shared" ref="L450:L501" si="21">I450*J450*(1-K450/100)</f>
        <v>351.5</v>
      </c>
      <c r="M450" s="5">
        <f t="shared" ref="M450:M501" si="22">L450*0.65</f>
        <v>228.47499999999999</v>
      </c>
      <c r="N450" s="5">
        <f t="shared" ref="N450:N501" si="23">L450-M450</f>
        <v>123.02500000000001</v>
      </c>
    </row>
    <row r="451" spans="1:14">
      <c r="A451" s="6" t="s">
        <v>696</v>
      </c>
      <c r="B451" s="7">
        <v>45626</v>
      </c>
      <c r="C451" s="6" t="s">
        <v>15</v>
      </c>
      <c r="D451" s="6" t="s">
        <v>16</v>
      </c>
      <c r="E451" s="6" t="s">
        <v>42</v>
      </c>
      <c r="F451" s="6" t="s">
        <v>47</v>
      </c>
      <c r="G451" s="6" t="s">
        <v>69</v>
      </c>
      <c r="H451" s="6" t="s">
        <v>20</v>
      </c>
      <c r="I451" s="8">
        <v>2</v>
      </c>
      <c r="J451" s="8">
        <v>970</v>
      </c>
      <c r="K451" s="8">
        <v>15</v>
      </c>
      <c r="L451" s="9">
        <f t="shared" si="21"/>
        <v>1649</v>
      </c>
      <c r="M451" s="9">
        <f t="shared" si="22"/>
        <v>1071.8500000000001</v>
      </c>
      <c r="N451" s="9">
        <f t="shared" si="23"/>
        <v>577.14999999999986</v>
      </c>
    </row>
    <row r="452" spans="1:14">
      <c r="A452" s="2" t="s">
        <v>697</v>
      </c>
      <c r="B452" s="3">
        <v>45626</v>
      </c>
      <c r="C452" s="2" t="s">
        <v>107</v>
      </c>
      <c r="D452" s="2" t="s">
        <v>108</v>
      </c>
      <c r="E452" s="2" t="s">
        <v>35</v>
      </c>
      <c r="F452" s="2" t="s">
        <v>36</v>
      </c>
      <c r="G452" s="2" t="s">
        <v>134</v>
      </c>
      <c r="H452" s="2" t="s">
        <v>45</v>
      </c>
      <c r="I452" s="4">
        <v>1</v>
      </c>
      <c r="J452" s="4">
        <v>230</v>
      </c>
      <c r="K452" s="4">
        <v>10</v>
      </c>
      <c r="L452" s="5">
        <f t="shared" si="21"/>
        <v>207</v>
      </c>
      <c r="M452" s="5">
        <f t="shared" si="22"/>
        <v>134.55000000000001</v>
      </c>
      <c r="N452" s="5">
        <f t="shared" si="23"/>
        <v>72.449999999999989</v>
      </c>
    </row>
    <row r="453" spans="1:14">
      <c r="A453" s="6" t="s">
        <v>698</v>
      </c>
      <c r="B453" s="7">
        <v>45628</v>
      </c>
      <c r="C453" s="6" t="s">
        <v>22</v>
      </c>
      <c r="D453" s="6" t="s">
        <v>23</v>
      </c>
      <c r="E453" s="6" t="s">
        <v>35</v>
      </c>
      <c r="F453" s="6" t="s">
        <v>50</v>
      </c>
      <c r="G453" s="6" t="s">
        <v>93</v>
      </c>
      <c r="H453" s="6" t="s">
        <v>20</v>
      </c>
      <c r="I453" s="8">
        <v>3</v>
      </c>
      <c r="J453" s="8">
        <v>270</v>
      </c>
      <c r="K453" s="8">
        <v>15</v>
      </c>
      <c r="L453" s="9">
        <f t="shared" si="21"/>
        <v>688.5</v>
      </c>
      <c r="M453" s="9">
        <f t="shared" si="22"/>
        <v>447.52500000000003</v>
      </c>
      <c r="N453" s="9">
        <f t="shared" si="23"/>
        <v>240.97499999999997</v>
      </c>
    </row>
    <row r="454" spans="1:14">
      <c r="A454" s="2" t="s">
        <v>699</v>
      </c>
      <c r="B454" s="3">
        <v>45629</v>
      </c>
      <c r="C454" s="2" t="s">
        <v>28</v>
      </c>
      <c r="D454" s="2" t="s">
        <v>29</v>
      </c>
      <c r="E454" s="2" t="s">
        <v>17</v>
      </c>
      <c r="F454" s="2" t="s">
        <v>206</v>
      </c>
      <c r="G454" s="2" t="s">
        <v>518</v>
      </c>
      <c r="H454" s="2" t="s">
        <v>45</v>
      </c>
      <c r="I454" s="4">
        <v>2</v>
      </c>
      <c r="J454" s="4">
        <v>100</v>
      </c>
      <c r="K454" s="4">
        <v>10</v>
      </c>
      <c r="L454" s="5">
        <f t="shared" si="21"/>
        <v>180</v>
      </c>
      <c r="M454" s="5">
        <f t="shared" si="22"/>
        <v>117</v>
      </c>
      <c r="N454" s="5">
        <f t="shared" si="23"/>
        <v>63</v>
      </c>
    </row>
    <row r="455" spans="1:14">
      <c r="A455" s="6" t="s">
        <v>700</v>
      </c>
      <c r="B455" s="7">
        <v>45629</v>
      </c>
      <c r="C455" s="6" t="s">
        <v>28</v>
      </c>
      <c r="D455" s="6" t="s">
        <v>29</v>
      </c>
      <c r="E455" s="6" t="s">
        <v>24</v>
      </c>
      <c r="F455" s="6" t="s">
        <v>63</v>
      </c>
      <c r="G455" s="6" t="s">
        <v>387</v>
      </c>
      <c r="H455" s="6" t="s">
        <v>20</v>
      </c>
      <c r="I455" s="8">
        <v>3</v>
      </c>
      <c r="J455" s="8">
        <v>1510</v>
      </c>
      <c r="K455" s="8">
        <v>10</v>
      </c>
      <c r="L455" s="9">
        <f t="shared" si="21"/>
        <v>4077</v>
      </c>
      <c r="M455" s="9">
        <f t="shared" si="22"/>
        <v>2650.05</v>
      </c>
      <c r="N455" s="9">
        <f t="shared" si="23"/>
        <v>1426.9499999999998</v>
      </c>
    </row>
    <row r="456" spans="1:14">
      <c r="A456" s="2" t="s">
        <v>701</v>
      </c>
      <c r="B456" s="3">
        <v>45631</v>
      </c>
      <c r="C456" s="2" t="s">
        <v>107</v>
      </c>
      <c r="D456" s="2" t="s">
        <v>108</v>
      </c>
      <c r="E456" s="2" t="s">
        <v>17</v>
      </c>
      <c r="F456" s="2" t="s">
        <v>102</v>
      </c>
      <c r="G456" s="2" t="s">
        <v>428</v>
      </c>
      <c r="H456" s="2" t="s">
        <v>45</v>
      </c>
      <c r="I456" s="4">
        <v>3</v>
      </c>
      <c r="J456" s="4">
        <v>210</v>
      </c>
      <c r="K456" s="4">
        <v>5</v>
      </c>
      <c r="L456" s="5">
        <f t="shared" si="21"/>
        <v>598.5</v>
      </c>
      <c r="M456" s="5">
        <f t="shared" si="22"/>
        <v>389.02500000000003</v>
      </c>
      <c r="N456" s="5">
        <f t="shared" si="23"/>
        <v>209.47499999999997</v>
      </c>
    </row>
    <row r="457" spans="1:14">
      <c r="A457" s="6" t="s">
        <v>702</v>
      </c>
      <c r="B457" s="7">
        <v>45631</v>
      </c>
      <c r="C457" s="6" t="s">
        <v>33</v>
      </c>
      <c r="D457" s="6" t="s">
        <v>34</v>
      </c>
      <c r="E457" s="6" t="s">
        <v>17</v>
      </c>
      <c r="F457" s="6" t="s">
        <v>102</v>
      </c>
      <c r="G457" s="6" t="s">
        <v>284</v>
      </c>
      <c r="H457" s="6" t="s">
        <v>20</v>
      </c>
      <c r="I457" s="8">
        <v>2</v>
      </c>
      <c r="J457" s="8">
        <v>190</v>
      </c>
      <c r="K457" s="8">
        <v>15</v>
      </c>
      <c r="L457" s="9">
        <f t="shared" si="21"/>
        <v>323</v>
      </c>
      <c r="M457" s="9">
        <f t="shared" si="22"/>
        <v>209.95000000000002</v>
      </c>
      <c r="N457" s="9">
        <f t="shared" si="23"/>
        <v>113.04999999999998</v>
      </c>
    </row>
    <row r="458" spans="1:14">
      <c r="A458" s="2" t="s">
        <v>703</v>
      </c>
      <c r="B458" s="3">
        <v>45631</v>
      </c>
      <c r="C458" s="2" t="s">
        <v>107</v>
      </c>
      <c r="D458" s="2" t="s">
        <v>108</v>
      </c>
      <c r="E458" s="2" t="s">
        <v>24</v>
      </c>
      <c r="F458" s="2" t="s">
        <v>71</v>
      </c>
      <c r="G458" s="2" t="s">
        <v>330</v>
      </c>
      <c r="H458" s="2" t="s">
        <v>20</v>
      </c>
      <c r="I458" s="4">
        <v>2</v>
      </c>
      <c r="J458" s="4">
        <v>890</v>
      </c>
      <c r="K458" s="4">
        <v>5</v>
      </c>
      <c r="L458" s="5">
        <f t="shared" si="21"/>
        <v>1691</v>
      </c>
      <c r="M458" s="5">
        <f t="shared" si="22"/>
        <v>1099.1500000000001</v>
      </c>
      <c r="N458" s="5">
        <f t="shared" si="23"/>
        <v>591.84999999999991</v>
      </c>
    </row>
    <row r="459" spans="1:14">
      <c r="A459" s="6" t="s">
        <v>704</v>
      </c>
      <c r="B459" s="7">
        <v>45632</v>
      </c>
      <c r="C459" s="6" t="s">
        <v>28</v>
      </c>
      <c r="D459" s="6" t="s">
        <v>29</v>
      </c>
      <c r="E459" s="6" t="s">
        <v>24</v>
      </c>
      <c r="F459" s="6" t="s">
        <v>83</v>
      </c>
      <c r="G459" s="6" t="s">
        <v>549</v>
      </c>
      <c r="H459" s="6" t="s">
        <v>20</v>
      </c>
      <c r="I459" s="8">
        <v>1</v>
      </c>
      <c r="J459" s="8">
        <v>590</v>
      </c>
      <c r="K459" s="8">
        <v>15</v>
      </c>
      <c r="L459" s="9">
        <f t="shared" si="21"/>
        <v>501.5</v>
      </c>
      <c r="M459" s="9">
        <f t="shared" si="22"/>
        <v>325.97500000000002</v>
      </c>
      <c r="N459" s="9">
        <f t="shared" si="23"/>
        <v>175.52499999999998</v>
      </c>
    </row>
    <row r="460" spans="1:14">
      <c r="A460" s="2" t="s">
        <v>705</v>
      </c>
      <c r="B460" s="3">
        <v>45632</v>
      </c>
      <c r="C460" s="2" t="s">
        <v>15</v>
      </c>
      <c r="D460" s="2" t="s">
        <v>16</v>
      </c>
      <c r="E460" s="2" t="s">
        <v>17</v>
      </c>
      <c r="F460" s="2" t="s">
        <v>116</v>
      </c>
      <c r="G460" s="2" t="s">
        <v>19</v>
      </c>
      <c r="H460" s="2" t="s">
        <v>20</v>
      </c>
      <c r="I460" s="4">
        <v>5</v>
      </c>
      <c r="J460" s="4">
        <v>160</v>
      </c>
      <c r="K460" s="4">
        <v>15</v>
      </c>
      <c r="L460" s="5">
        <f t="shared" si="21"/>
        <v>680</v>
      </c>
      <c r="M460" s="5">
        <f t="shared" si="22"/>
        <v>442</v>
      </c>
      <c r="N460" s="5">
        <f t="shared" si="23"/>
        <v>238</v>
      </c>
    </row>
    <row r="461" spans="1:14">
      <c r="A461" s="6" t="s">
        <v>706</v>
      </c>
      <c r="B461" s="7">
        <v>45633</v>
      </c>
      <c r="C461" s="6" t="s">
        <v>22</v>
      </c>
      <c r="D461" s="6" t="s">
        <v>23</v>
      </c>
      <c r="E461" s="6" t="s">
        <v>35</v>
      </c>
      <c r="F461" s="6" t="s">
        <v>57</v>
      </c>
      <c r="G461" s="6" t="s">
        <v>707</v>
      </c>
      <c r="H461" s="6" t="s">
        <v>20</v>
      </c>
      <c r="I461" s="8">
        <v>1</v>
      </c>
      <c r="J461" s="8">
        <v>810</v>
      </c>
      <c r="K461" s="8">
        <v>15</v>
      </c>
      <c r="L461" s="9">
        <f t="shared" si="21"/>
        <v>688.5</v>
      </c>
      <c r="M461" s="9">
        <f t="shared" si="22"/>
        <v>447.52500000000003</v>
      </c>
      <c r="N461" s="9">
        <f t="shared" si="23"/>
        <v>240.97499999999997</v>
      </c>
    </row>
    <row r="462" spans="1:14">
      <c r="A462" s="2" t="s">
        <v>708</v>
      </c>
      <c r="B462" s="3">
        <v>45634</v>
      </c>
      <c r="C462" s="2" t="s">
        <v>15</v>
      </c>
      <c r="D462" s="2" t="s">
        <v>16</v>
      </c>
      <c r="E462" s="2" t="s">
        <v>24</v>
      </c>
      <c r="F462" s="2" t="s">
        <v>63</v>
      </c>
      <c r="G462" s="2" t="s">
        <v>366</v>
      </c>
      <c r="H462" s="2" t="s">
        <v>20</v>
      </c>
      <c r="I462" s="4">
        <v>2</v>
      </c>
      <c r="J462" s="4">
        <v>1560</v>
      </c>
      <c r="K462" s="4">
        <v>15</v>
      </c>
      <c r="L462" s="5">
        <f t="shared" si="21"/>
        <v>2652</v>
      </c>
      <c r="M462" s="5">
        <f t="shared" si="22"/>
        <v>1723.8</v>
      </c>
      <c r="N462" s="5">
        <f t="shared" si="23"/>
        <v>928.2</v>
      </c>
    </row>
    <row r="463" spans="1:14">
      <c r="A463" s="6" t="s">
        <v>709</v>
      </c>
      <c r="B463" s="7">
        <v>45634</v>
      </c>
      <c r="C463" s="6" t="s">
        <v>107</v>
      </c>
      <c r="D463" s="6" t="s">
        <v>108</v>
      </c>
      <c r="E463" s="6" t="s">
        <v>17</v>
      </c>
      <c r="F463" s="6" t="s">
        <v>206</v>
      </c>
      <c r="G463" s="6" t="s">
        <v>123</v>
      </c>
      <c r="H463" s="6" t="s">
        <v>52</v>
      </c>
      <c r="I463" s="8">
        <v>1</v>
      </c>
      <c r="J463" s="8">
        <v>100</v>
      </c>
      <c r="K463" s="8">
        <v>20</v>
      </c>
      <c r="L463" s="9">
        <f t="shared" si="21"/>
        <v>80</v>
      </c>
      <c r="M463" s="9">
        <f t="shared" si="22"/>
        <v>52</v>
      </c>
      <c r="N463" s="9">
        <f t="shared" si="23"/>
        <v>28</v>
      </c>
    </row>
    <row r="464" spans="1:14">
      <c r="A464" s="2" t="s">
        <v>710</v>
      </c>
      <c r="B464" s="3">
        <v>45635</v>
      </c>
      <c r="C464" s="2" t="s">
        <v>22</v>
      </c>
      <c r="D464" s="2" t="s">
        <v>23</v>
      </c>
      <c r="E464" s="2" t="s">
        <v>42</v>
      </c>
      <c r="F464" s="2" t="s">
        <v>47</v>
      </c>
      <c r="G464" s="2" t="s">
        <v>496</v>
      </c>
      <c r="H464" s="2" t="s">
        <v>20</v>
      </c>
      <c r="I464" s="4">
        <v>1</v>
      </c>
      <c r="J464" s="4">
        <v>1000</v>
      </c>
      <c r="K464" s="4">
        <v>5</v>
      </c>
      <c r="L464" s="5">
        <f t="shared" si="21"/>
        <v>950</v>
      </c>
      <c r="M464" s="5">
        <f t="shared" si="22"/>
        <v>617.5</v>
      </c>
      <c r="N464" s="5">
        <f t="shared" si="23"/>
        <v>332.5</v>
      </c>
    </row>
    <row r="465" spans="1:14">
      <c r="A465" s="6" t="s">
        <v>711</v>
      </c>
      <c r="B465" s="7">
        <v>45635</v>
      </c>
      <c r="C465" s="6" t="s">
        <v>33</v>
      </c>
      <c r="D465" s="6" t="s">
        <v>34</v>
      </c>
      <c r="E465" s="6" t="s">
        <v>17</v>
      </c>
      <c r="F465" s="6" t="s">
        <v>80</v>
      </c>
      <c r="G465" s="6" t="s">
        <v>158</v>
      </c>
      <c r="H465" s="6" t="s">
        <v>45</v>
      </c>
      <c r="I465" s="8">
        <v>1</v>
      </c>
      <c r="J465" s="8">
        <v>140</v>
      </c>
      <c r="K465" s="8">
        <v>0</v>
      </c>
      <c r="L465" s="9">
        <f t="shared" si="21"/>
        <v>140</v>
      </c>
      <c r="M465" s="9">
        <f t="shared" si="22"/>
        <v>91</v>
      </c>
      <c r="N465" s="9">
        <f t="shared" si="23"/>
        <v>49</v>
      </c>
    </row>
    <row r="466" spans="1:14">
      <c r="A466" s="2" t="s">
        <v>712</v>
      </c>
      <c r="B466" s="3">
        <v>45635</v>
      </c>
      <c r="C466" s="2" t="s">
        <v>15</v>
      </c>
      <c r="D466" s="2" t="s">
        <v>16</v>
      </c>
      <c r="E466" s="2" t="s">
        <v>24</v>
      </c>
      <c r="F466" s="2" t="s">
        <v>83</v>
      </c>
      <c r="G466" s="2" t="s">
        <v>713</v>
      </c>
      <c r="H466" s="2" t="s">
        <v>52</v>
      </c>
      <c r="I466" s="4">
        <v>2</v>
      </c>
      <c r="J466" s="4">
        <v>630</v>
      </c>
      <c r="K466" s="4">
        <v>10</v>
      </c>
      <c r="L466" s="5">
        <f t="shared" si="21"/>
        <v>1134</v>
      </c>
      <c r="M466" s="5">
        <f t="shared" si="22"/>
        <v>737.1</v>
      </c>
      <c r="N466" s="5">
        <f t="shared" si="23"/>
        <v>396.9</v>
      </c>
    </row>
    <row r="467" spans="1:14">
      <c r="A467" s="6" t="s">
        <v>714</v>
      </c>
      <c r="B467" s="7">
        <v>45636</v>
      </c>
      <c r="C467" s="6" t="s">
        <v>33</v>
      </c>
      <c r="D467" s="6" t="s">
        <v>34</v>
      </c>
      <c r="E467" s="6" t="s">
        <v>35</v>
      </c>
      <c r="F467" s="6" t="s">
        <v>109</v>
      </c>
      <c r="G467" s="6" t="s">
        <v>421</v>
      </c>
      <c r="H467" s="6" t="s">
        <v>20</v>
      </c>
      <c r="I467" s="8">
        <v>2</v>
      </c>
      <c r="J467" s="8">
        <v>410</v>
      </c>
      <c r="K467" s="8">
        <v>15</v>
      </c>
      <c r="L467" s="9">
        <f t="shared" si="21"/>
        <v>697</v>
      </c>
      <c r="M467" s="9">
        <f t="shared" si="22"/>
        <v>453.05</v>
      </c>
      <c r="N467" s="9">
        <f t="shared" si="23"/>
        <v>243.95</v>
      </c>
    </row>
    <row r="468" spans="1:14">
      <c r="A468" s="2" t="s">
        <v>715</v>
      </c>
      <c r="B468" s="3">
        <v>45636</v>
      </c>
      <c r="C468" s="2" t="s">
        <v>33</v>
      </c>
      <c r="D468" s="2" t="s">
        <v>34</v>
      </c>
      <c r="E468" s="2" t="s">
        <v>42</v>
      </c>
      <c r="F468" s="2" t="s">
        <v>74</v>
      </c>
      <c r="G468" s="2" t="s">
        <v>585</v>
      </c>
      <c r="H468" s="2" t="s">
        <v>20</v>
      </c>
      <c r="I468" s="4">
        <v>1</v>
      </c>
      <c r="J468" s="4">
        <v>1250</v>
      </c>
      <c r="K468" s="4">
        <v>15</v>
      </c>
      <c r="L468" s="5">
        <f t="shared" si="21"/>
        <v>1062.5</v>
      </c>
      <c r="M468" s="5">
        <f t="shared" si="22"/>
        <v>690.625</v>
      </c>
      <c r="N468" s="5">
        <f t="shared" si="23"/>
        <v>371.875</v>
      </c>
    </row>
    <row r="469" spans="1:14">
      <c r="A469" s="6" t="s">
        <v>716</v>
      </c>
      <c r="B469" s="7">
        <v>45638</v>
      </c>
      <c r="C469" s="6" t="s">
        <v>33</v>
      </c>
      <c r="D469" s="6" t="s">
        <v>34</v>
      </c>
      <c r="E469" s="6" t="s">
        <v>35</v>
      </c>
      <c r="F469" s="6" t="s">
        <v>104</v>
      </c>
      <c r="G469" s="6" t="s">
        <v>269</v>
      </c>
      <c r="H469" s="6" t="s">
        <v>20</v>
      </c>
      <c r="I469" s="8">
        <v>1</v>
      </c>
      <c r="J469" s="8">
        <v>1420</v>
      </c>
      <c r="K469" s="8">
        <v>10</v>
      </c>
      <c r="L469" s="9">
        <f t="shared" si="21"/>
        <v>1278</v>
      </c>
      <c r="M469" s="9">
        <f t="shared" si="22"/>
        <v>830.7</v>
      </c>
      <c r="N469" s="9">
        <f t="shared" si="23"/>
        <v>447.29999999999995</v>
      </c>
    </row>
    <row r="470" spans="1:14">
      <c r="A470" s="2" t="s">
        <v>717</v>
      </c>
      <c r="B470" s="3">
        <v>45638</v>
      </c>
      <c r="C470" s="2" t="s">
        <v>33</v>
      </c>
      <c r="D470" s="2" t="s">
        <v>34</v>
      </c>
      <c r="E470" s="2" t="s">
        <v>35</v>
      </c>
      <c r="F470" s="2" t="s">
        <v>182</v>
      </c>
      <c r="G470" s="2" t="s">
        <v>385</v>
      </c>
      <c r="H470" s="2" t="s">
        <v>52</v>
      </c>
      <c r="I470" s="4">
        <v>1</v>
      </c>
      <c r="J470" s="4">
        <v>460</v>
      </c>
      <c r="K470" s="4">
        <v>10</v>
      </c>
      <c r="L470" s="5">
        <f t="shared" si="21"/>
        <v>414</v>
      </c>
      <c r="M470" s="5">
        <f t="shared" si="22"/>
        <v>269.10000000000002</v>
      </c>
      <c r="N470" s="5">
        <f t="shared" si="23"/>
        <v>144.89999999999998</v>
      </c>
    </row>
    <row r="471" spans="1:14">
      <c r="A471" s="6" t="s">
        <v>718</v>
      </c>
      <c r="B471" s="7">
        <v>45638</v>
      </c>
      <c r="C471" s="6" t="s">
        <v>33</v>
      </c>
      <c r="D471" s="6" t="s">
        <v>34</v>
      </c>
      <c r="E471" s="6" t="s">
        <v>42</v>
      </c>
      <c r="F471" s="6" t="s">
        <v>74</v>
      </c>
      <c r="G471" s="6" t="s">
        <v>469</v>
      </c>
      <c r="H471" s="6" t="s">
        <v>20</v>
      </c>
      <c r="I471" s="8">
        <v>1</v>
      </c>
      <c r="J471" s="8">
        <v>1200</v>
      </c>
      <c r="K471" s="8">
        <v>15</v>
      </c>
      <c r="L471" s="9">
        <f t="shared" si="21"/>
        <v>1020</v>
      </c>
      <c r="M471" s="9">
        <f t="shared" si="22"/>
        <v>663</v>
      </c>
      <c r="N471" s="9">
        <f t="shared" si="23"/>
        <v>357</v>
      </c>
    </row>
    <row r="472" spans="1:14">
      <c r="A472" s="2" t="s">
        <v>719</v>
      </c>
      <c r="B472" s="3">
        <v>45639</v>
      </c>
      <c r="C472" s="2" t="s">
        <v>28</v>
      </c>
      <c r="D472" s="2" t="s">
        <v>29</v>
      </c>
      <c r="E472" s="2" t="s">
        <v>24</v>
      </c>
      <c r="F472" s="2" t="s">
        <v>63</v>
      </c>
      <c r="G472" s="2" t="s">
        <v>428</v>
      </c>
      <c r="H472" s="2" t="s">
        <v>20</v>
      </c>
      <c r="I472" s="4">
        <v>4</v>
      </c>
      <c r="J472" s="4">
        <v>1620</v>
      </c>
      <c r="K472" s="4">
        <v>15</v>
      </c>
      <c r="L472" s="5">
        <f t="shared" si="21"/>
        <v>5508</v>
      </c>
      <c r="M472" s="5">
        <f t="shared" si="22"/>
        <v>3580.2000000000003</v>
      </c>
      <c r="N472" s="5">
        <f t="shared" si="23"/>
        <v>1927.7999999999997</v>
      </c>
    </row>
    <row r="473" spans="1:14">
      <c r="A473" s="6" t="s">
        <v>720</v>
      </c>
      <c r="B473" s="7">
        <v>45639</v>
      </c>
      <c r="C473" s="6" t="s">
        <v>15</v>
      </c>
      <c r="D473" s="6" t="s">
        <v>16</v>
      </c>
      <c r="E473" s="6" t="s">
        <v>24</v>
      </c>
      <c r="F473" s="6" t="s">
        <v>25</v>
      </c>
      <c r="G473" s="6" t="s">
        <v>605</v>
      </c>
      <c r="H473" s="6" t="s">
        <v>52</v>
      </c>
      <c r="I473" s="8">
        <v>1</v>
      </c>
      <c r="J473" s="8">
        <v>810</v>
      </c>
      <c r="K473" s="8">
        <v>10</v>
      </c>
      <c r="L473" s="9">
        <f t="shared" si="21"/>
        <v>729</v>
      </c>
      <c r="M473" s="9">
        <f t="shared" si="22"/>
        <v>473.85</v>
      </c>
      <c r="N473" s="9">
        <f t="shared" si="23"/>
        <v>255.14999999999998</v>
      </c>
    </row>
    <row r="474" spans="1:14">
      <c r="A474" s="2" t="s">
        <v>721</v>
      </c>
      <c r="B474" s="3">
        <v>45639</v>
      </c>
      <c r="C474" s="2" t="s">
        <v>33</v>
      </c>
      <c r="D474" s="2" t="s">
        <v>34</v>
      </c>
      <c r="E474" s="2" t="s">
        <v>35</v>
      </c>
      <c r="F474" s="2" t="s">
        <v>57</v>
      </c>
      <c r="G474" s="2" t="s">
        <v>271</v>
      </c>
      <c r="H474" s="2" t="s">
        <v>20</v>
      </c>
      <c r="I474" s="4">
        <v>2</v>
      </c>
      <c r="J474" s="4">
        <v>890</v>
      </c>
      <c r="K474" s="4">
        <v>5</v>
      </c>
      <c r="L474" s="5">
        <f t="shared" si="21"/>
        <v>1691</v>
      </c>
      <c r="M474" s="5">
        <f t="shared" si="22"/>
        <v>1099.1500000000001</v>
      </c>
      <c r="N474" s="5">
        <f t="shared" si="23"/>
        <v>591.84999999999991</v>
      </c>
    </row>
    <row r="475" spans="1:14">
      <c r="A475" s="6" t="s">
        <v>722</v>
      </c>
      <c r="B475" s="7">
        <v>45640</v>
      </c>
      <c r="C475" s="6" t="s">
        <v>15</v>
      </c>
      <c r="D475" s="6" t="s">
        <v>16</v>
      </c>
      <c r="E475" s="6" t="s">
        <v>17</v>
      </c>
      <c r="F475" s="6" t="s">
        <v>102</v>
      </c>
      <c r="G475" s="6" t="s">
        <v>607</v>
      </c>
      <c r="H475" s="6" t="s">
        <v>45</v>
      </c>
      <c r="I475" s="8">
        <v>1</v>
      </c>
      <c r="J475" s="8">
        <v>180</v>
      </c>
      <c r="K475" s="8">
        <v>10</v>
      </c>
      <c r="L475" s="9">
        <f t="shared" si="21"/>
        <v>162</v>
      </c>
      <c r="M475" s="9">
        <f t="shared" si="22"/>
        <v>105.3</v>
      </c>
      <c r="N475" s="9">
        <f t="shared" si="23"/>
        <v>56.7</v>
      </c>
    </row>
    <row r="476" spans="1:14">
      <c r="A476" s="2" t="s">
        <v>723</v>
      </c>
      <c r="B476" s="3">
        <v>45640</v>
      </c>
      <c r="C476" s="2" t="s">
        <v>107</v>
      </c>
      <c r="D476" s="2" t="s">
        <v>108</v>
      </c>
      <c r="E476" s="2" t="s">
        <v>42</v>
      </c>
      <c r="F476" s="2" t="s">
        <v>43</v>
      </c>
      <c r="G476" s="2" t="s">
        <v>222</v>
      </c>
      <c r="H476" s="2" t="s">
        <v>20</v>
      </c>
      <c r="I476" s="4">
        <v>1</v>
      </c>
      <c r="J476" s="4">
        <v>3280</v>
      </c>
      <c r="K476" s="4">
        <v>15</v>
      </c>
      <c r="L476" s="5">
        <f t="shared" si="21"/>
        <v>2788</v>
      </c>
      <c r="M476" s="5">
        <f t="shared" si="22"/>
        <v>1812.2</v>
      </c>
      <c r="N476" s="5">
        <f t="shared" si="23"/>
        <v>975.8</v>
      </c>
    </row>
    <row r="477" spans="1:14">
      <c r="A477" s="6" t="s">
        <v>724</v>
      </c>
      <c r="B477" s="7">
        <v>45640</v>
      </c>
      <c r="C477" s="6" t="s">
        <v>15</v>
      </c>
      <c r="D477" s="6" t="s">
        <v>16</v>
      </c>
      <c r="E477" s="6" t="s">
        <v>17</v>
      </c>
      <c r="F477" s="6" t="s">
        <v>206</v>
      </c>
      <c r="G477" s="6" t="s">
        <v>585</v>
      </c>
      <c r="H477" s="6" t="s">
        <v>45</v>
      </c>
      <c r="I477" s="8">
        <v>1</v>
      </c>
      <c r="J477" s="8">
        <v>100</v>
      </c>
      <c r="K477" s="8">
        <v>5</v>
      </c>
      <c r="L477" s="9">
        <f t="shared" si="21"/>
        <v>95</v>
      </c>
      <c r="M477" s="9">
        <f t="shared" si="22"/>
        <v>61.75</v>
      </c>
      <c r="N477" s="9">
        <f t="shared" si="23"/>
        <v>33.25</v>
      </c>
    </row>
    <row r="478" spans="1:14">
      <c r="A478" s="2" t="s">
        <v>725</v>
      </c>
      <c r="B478" s="3">
        <v>45640</v>
      </c>
      <c r="C478" s="26" t="s">
        <v>15</v>
      </c>
      <c r="D478" s="2" t="s">
        <v>16</v>
      </c>
      <c r="E478" s="26" t="s">
        <v>24</v>
      </c>
      <c r="F478" s="2" t="s">
        <v>54</v>
      </c>
      <c r="G478" s="2" t="s">
        <v>642</v>
      </c>
      <c r="H478" s="2" t="s">
        <v>45</v>
      </c>
      <c r="I478" s="4">
        <v>4</v>
      </c>
      <c r="J478" s="4">
        <v>350</v>
      </c>
      <c r="K478" s="4">
        <v>10</v>
      </c>
      <c r="L478" s="5">
        <f t="shared" si="21"/>
        <v>1260</v>
      </c>
      <c r="M478" s="5">
        <f t="shared" si="22"/>
        <v>819</v>
      </c>
      <c r="N478" s="5">
        <f t="shared" si="23"/>
        <v>441</v>
      </c>
    </row>
    <row r="479" spans="1:14">
      <c r="A479" s="6" t="s">
        <v>726</v>
      </c>
      <c r="B479" s="7">
        <v>45641</v>
      </c>
      <c r="C479" s="38" t="s">
        <v>33</v>
      </c>
      <c r="D479" s="6" t="s">
        <v>34</v>
      </c>
      <c r="E479" s="6" t="s">
        <v>35</v>
      </c>
      <c r="F479" s="6" t="s">
        <v>182</v>
      </c>
      <c r="G479" s="6" t="s">
        <v>651</v>
      </c>
      <c r="H479" s="6" t="s">
        <v>20</v>
      </c>
      <c r="I479" s="8">
        <v>1</v>
      </c>
      <c r="J479" s="8">
        <v>490</v>
      </c>
      <c r="K479" s="8">
        <v>15</v>
      </c>
      <c r="L479" s="9">
        <f t="shared" si="21"/>
        <v>416.5</v>
      </c>
      <c r="M479" s="9">
        <f t="shared" si="22"/>
        <v>270.72500000000002</v>
      </c>
      <c r="N479" s="9">
        <f t="shared" si="23"/>
        <v>145.77499999999998</v>
      </c>
    </row>
    <row r="480" spans="1:14">
      <c r="A480" s="2" t="s">
        <v>727</v>
      </c>
      <c r="B480" s="3">
        <v>45642</v>
      </c>
      <c r="C480" s="26" t="s">
        <v>28</v>
      </c>
      <c r="D480" s="2" t="s">
        <v>29</v>
      </c>
      <c r="E480" s="2" t="s">
        <v>35</v>
      </c>
      <c r="F480" s="2" t="s">
        <v>36</v>
      </c>
      <c r="G480" s="2" t="s">
        <v>728</v>
      </c>
      <c r="H480" s="2" t="s">
        <v>20</v>
      </c>
      <c r="I480" s="4">
        <v>4</v>
      </c>
      <c r="J480" s="4">
        <v>260</v>
      </c>
      <c r="K480" s="4">
        <v>5</v>
      </c>
      <c r="L480" s="5">
        <f t="shared" si="21"/>
        <v>988</v>
      </c>
      <c r="M480" s="5">
        <f t="shared" si="22"/>
        <v>642.20000000000005</v>
      </c>
      <c r="N480" s="5">
        <f t="shared" si="23"/>
        <v>345.79999999999995</v>
      </c>
    </row>
    <row r="481" spans="1:14">
      <c r="A481" s="6" t="s">
        <v>729</v>
      </c>
      <c r="B481" s="7">
        <v>45642</v>
      </c>
      <c r="C481" s="6" t="s">
        <v>15</v>
      </c>
      <c r="D481" s="6" t="s">
        <v>16</v>
      </c>
      <c r="E481" s="6" t="s">
        <v>24</v>
      </c>
      <c r="F481" s="6" t="s">
        <v>71</v>
      </c>
      <c r="G481" s="6" t="s">
        <v>130</v>
      </c>
      <c r="H481" s="6" t="s">
        <v>20</v>
      </c>
      <c r="I481" s="8">
        <v>3</v>
      </c>
      <c r="J481" s="8">
        <v>860</v>
      </c>
      <c r="K481" s="8">
        <v>10</v>
      </c>
      <c r="L481" s="9">
        <f t="shared" si="21"/>
        <v>2322</v>
      </c>
      <c r="M481" s="9">
        <f t="shared" si="22"/>
        <v>1509.3</v>
      </c>
      <c r="N481" s="9">
        <f t="shared" si="23"/>
        <v>812.7</v>
      </c>
    </row>
    <row r="482" spans="1:14">
      <c r="A482" s="2" t="s">
        <v>730</v>
      </c>
      <c r="B482" s="3">
        <v>45643</v>
      </c>
      <c r="C482" s="2" t="s">
        <v>33</v>
      </c>
      <c r="D482" s="2" t="s">
        <v>34</v>
      </c>
      <c r="E482" s="2" t="s">
        <v>42</v>
      </c>
      <c r="F482" s="2" t="s">
        <v>199</v>
      </c>
      <c r="G482" s="2" t="s">
        <v>222</v>
      </c>
      <c r="H482" s="2" t="s">
        <v>20</v>
      </c>
      <c r="I482" s="4">
        <v>3</v>
      </c>
      <c r="J482" s="4">
        <v>370</v>
      </c>
      <c r="K482" s="4">
        <v>5</v>
      </c>
      <c r="L482" s="5">
        <f t="shared" si="21"/>
        <v>1054.5</v>
      </c>
      <c r="M482" s="5">
        <f t="shared" si="22"/>
        <v>685.42500000000007</v>
      </c>
      <c r="N482" s="5">
        <f t="shared" si="23"/>
        <v>369.07499999999993</v>
      </c>
    </row>
    <row r="483" spans="1:14">
      <c r="A483" s="6" t="s">
        <v>731</v>
      </c>
      <c r="B483" s="7">
        <v>45645</v>
      </c>
      <c r="C483" s="6" t="s">
        <v>107</v>
      </c>
      <c r="D483" s="6" t="s">
        <v>108</v>
      </c>
      <c r="E483" s="6" t="s">
        <v>17</v>
      </c>
      <c r="F483" s="6" t="s">
        <v>206</v>
      </c>
      <c r="G483" s="6" t="s">
        <v>67</v>
      </c>
      <c r="H483" s="6" t="s">
        <v>20</v>
      </c>
      <c r="I483" s="8">
        <v>4</v>
      </c>
      <c r="J483" s="8">
        <v>110</v>
      </c>
      <c r="K483" s="8">
        <v>10</v>
      </c>
      <c r="L483" s="9">
        <f t="shared" si="21"/>
        <v>396</v>
      </c>
      <c r="M483" s="9">
        <f t="shared" si="22"/>
        <v>257.40000000000003</v>
      </c>
      <c r="N483" s="9">
        <f t="shared" si="23"/>
        <v>138.59999999999997</v>
      </c>
    </row>
    <row r="484" spans="1:14">
      <c r="A484" s="2" t="s">
        <v>732</v>
      </c>
      <c r="B484" s="3">
        <v>45645</v>
      </c>
      <c r="C484" s="2" t="s">
        <v>28</v>
      </c>
      <c r="D484" s="2" t="s">
        <v>29</v>
      </c>
      <c r="E484" s="2" t="s">
        <v>35</v>
      </c>
      <c r="F484" s="2" t="s">
        <v>57</v>
      </c>
      <c r="G484" s="2" t="s">
        <v>64</v>
      </c>
      <c r="H484" s="2" t="s">
        <v>45</v>
      </c>
      <c r="I484" s="4">
        <v>2</v>
      </c>
      <c r="J484" s="4">
        <v>950</v>
      </c>
      <c r="K484" s="4">
        <v>0</v>
      </c>
      <c r="L484" s="5">
        <f t="shared" si="21"/>
        <v>1900</v>
      </c>
      <c r="M484" s="5">
        <f t="shared" si="22"/>
        <v>1235</v>
      </c>
      <c r="N484" s="5">
        <f t="shared" si="23"/>
        <v>665</v>
      </c>
    </row>
    <row r="485" spans="1:14">
      <c r="A485" s="6" t="s">
        <v>733</v>
      </c>
      <c r="B485" s="7">
        <v>45645</v>
      </c>
      <c r="C485" s="6" t="s">
        <v>33</v>
      </c>
      <c r="D485" s="6" t="s">
        <v>34</v>
      </c>
      <c r="E485" s="6" t="s">
        <v>35</v>
      </c>
      <c r="F485" s="6" t="s">
        <v>95</v>
      </c>
      <c r="G485" s="6" t="s">
        <v>208</v>
      </c>
      <c r="H485" s="6" t="s">
        <v>52</v>
      </c>
      <c r="I485" s="8">
        <v>1</v>
      </c>
      <c r="J485" s="8">
        <v>370</v>
      </c>
      <c r="K485" s="8">
        <v>15</v>
      </c>
      <c r="L485" s="9">
        <f t="shared" si="21"/>
        <v>314.5</v>
      </c>
      <c r="M485" s="9">
        <f t="shared" si="22"/>
        <v>204.42500000000001</v>
      </c>
      <c r="N485" s="9">
        <f t="shared" si="23"/>
        <v>110.07499999999999</v>
      </c>
    </row>
    <row r="486" spans="1:14">
      <c r="A486" s="2" t="s">
        <v>734</v>
      </c>
      <c r="B486" s="3">
        <v>45646</v>
      </c>
      <c r="C486" s="2" t="s">
        <v>15</v>
      </c>
      <c r="D486" s="2" t="s">
        <v>16</v>
      </c>
      <c r="E486" s="2" t="s">
        <v>35</v>
      </c>
      <c r="F486" s="2" t="s">
        <v>57</v>
      </c>
      <c r="G486" s="2" t="s">
        <v>368</v>
      </c>
      <c r="H486" s="2" t="s">
        <v>45</v>
      </c>
      <c r="I486" s="4">
        <v>2</v>
      </c>
      <c r="J486" s="4">
        <v>830</v>
      </c>
      <c r="K486" s="4">
        <v>10</v>
      </c>
      <c r="L486" s="5">
        <f t="shared" si="21"/>
        <v>1494</v>
      </c>
      <c r="M486" s="5">
        <f t="shared" si="22"/>
        <v>971.1</v>
      </c>
      <c r="N486" s="5">
        <f t="shared" si="23"/>
        <v>522.9</v>
      </c>
    </row>
    <row r="487" spans="1:14">
      <c r="A487" s="6" t="s">
        <v>735</v>
      </c>
      <c r="B487" s="7">
        <v>45647</v>
      </c>
      <c r="C487" s="6" t="s">
        <v>33</v>
      </c>
      <c r="D487" s="6" t="s">
        <v>34</v>
      </c>
      <c r="E487" s="6" t="s">
        <v>35</v>
      </c>
      <c r="F487" s="6" t="s">
        <v>57</v>
      </c>
      <c r="G487" s="6" t="s">
        <v>549</v>
      </c>
      <c r="H487" s="6" t="s">
        <v>52</v>
      </c>
      <c r="I487" s="8">
        <v>3</v>
      </c>
      <c r="J487" s="8">
        <v>870</v>
      </c>
      <c r="K487" s="8">
        <v>10</v>
      </c>
      <c r="L487" s="9">
        <f t="shared" si="21"/>
        <v>2349</v>
      </c>
      <c r="M487" s="9">
        <f t="shared" si="22"/>
        <v>1526.8500000000001</v>
      </c>
      <c r="N487" s="9">
        <f t="shared" si="23"/>
        <v>822.14999999999986</v>
      </c>
    </row>
    <row r="488" spans="1:14">
      <c r="A488" s="2" t="s">
        <v>736</v>
      </c>
      <c r="B488" s="3">
        <v>45647</v>
      </c>
      <c r="C488" s="2" t="s">
        <v>15</v>
      </c>
      <c r="D488" s="2" t="s">
        <v>16</v>
      </c>
      <c r="E488" s="2" t="s">
        <v>17</v>
      </c>
      <c r="F488" s="2" t="s">
        <v>267</v>
      </c>
      <c r="G488" s="2" t="s">
        <v>685</v>
      </c>
      <c r="H488" s="2" t="s">
        <v>52</v>
      </c>
      <c r="I488" s="4">
        <v>3</v>
      </c>
      <c r="J488" s="4">
        <v>370</v>
      </c>
      <c r="K488" s="4">
        <v>10</v>
      </c>
      <c r="L488" s="5">
        <f t="shared" si="21"/>
        <v>999</v>
      </c>
      <c r="M488" s="5">
        <f t="shared" si="22"/>
        <v>649.35</v>
      </c>
      <c r="N488" s="5">
        <f t="shared" si="23"/>
        <v>349.65</v>
      </c>
    </row>
    <row r="489" spans="1:14">
      <c r="A489" s="6" t="s">
        <v>737</v>
      </c>
      <c r="B489" s="7">
        <v>45648</v>
      </c>
      <c r="C489" s="6" t="s">
        <v>28</v>
      </c>
      <c r="D489" s="6" t="s">
        <v>29</v>
      </c>
      <c r="E489" s="6" t="s">
        <v>17</v>
      </c>
      <c r="F489" s="6" t="s">
        <v>116</v>
      </c>
      <c r="G489" s="6" t="s">
        <v>666</v>
      </c>
      <c r="H489" s="6" t="s">
        <v>45</v>
      </c>
      <c r="I489" s="8">
        <v>3</v>
      </c>
      <c r="J489" s="8">
        <v>140</v>
      </c>
      <c r="K489" s="8">
        <v>10</v>
      </c>
      <c r="L489" s="9">
        <f t="shared" si="21"/>
        <v>378</v>
      </c>
      <c r="M489" s="9">
        <f t="shared" si="22"/>
        <v>245.70000000000002</v>
      </c>
      <c r="N489" s="9">
        <f t="shared" si="23"/>
        <v>132.29999999999998</v>
      </c>
    </row>
    <row r="490" spans="1:14">
      <c r="A490" s="2" t="s">
        <v>738</v>
      </c>
      <c r="B490" s="3">
        <v>45648</v>
      </c>
      <c r="C490" s="26" t="s">
        <v>22</v>
      </c>
      <c r="D490" s="2" t="s">
        <v>23</v>
      </c>
      <c r="E490" s="2" t="s">
        <v>42</v>
      </c>
      <c r="F490" s="2" t="s">
        <v>113</v>
      </c>
      <c r="G490" s="2" t="s">
        <v>739</v>
      </c>
      <c r="H490" s="2" t="s">
        <v>45</v>
      </c>
      <c r="I490" s="4">
        <v>3</v>
      </c>
      <c r="J490" s="4">
        <v>850</v>
      </c>
      <c r="K490" s="4">
        <v>5</v>
      </c>
      <c r="L490" s="5">
        <f t="shared" si="21"/>
        <v>2422.5</v>
      </c>
      <c r="M490" s="5">
        <f t="shared" si="22"/>
        <v>1574.625</v>
      </c>
      <c r="N490" s="5">
        <f t="shared" si="23"/>
        <v>847.875</v>
      </c>
    </row>
    <row r="491" spans="1:14">
      <c r="A491" s="6" t="s">
        <v>740</v>
      </c>
      <c r="B491" s="7">
        <v>45649</v>
      </c>
      <c r="C491" s="6" t="s">
        <v>28</v>
      </c>
      <c r="D491" s="6" t="s">
        <v>29</v>
      </c>
      <c r="E491" s="6" t="s">
        <v>17</v>
      </c>
      <c r="F491" s="6" t="s">
        <v>224</v>
      </c>
      <c r="G491" s="6" t="s">
        <v>741</v>
      </c>
      <c r="H491" s="6" t="s">
        <v>20</v>
      </c>
      <c r="I491" s="8">
        <v>1</v>
      </c>
      <c r="J491" s="8">
        <v>80</v>
      </c>
      <c r="K491" s="8">
        <v>5</v>
      </c>
      <c r="L491" s="9">
        <f t="shared" si="21"/>
        <v>76</v>
      </c>
      <c r="M491" s="9">
        <f t="shared" si="22"/>
        <v>49.4</v>
      </c>
      <c r="N491" s="9">
        <f t="shared" si="23"/>
        <v>26.6</v>
      </c>
    </row>
    <row r="492" spans="1:14">
      <c r="A492" s="2" t="s">
        <v>742</v>
      </c>
      <c r="B492" s="3">
        <v>45649</v>
      </c>
      <c r="C492" s="2" t="s">
        <v>28</v>
      </c>
      <c r="D492" s="2" t="s">
        <v>29</v>
      </c>
      <c r="E492" s="2" t="s">
        <v>24</v>
      </c>
      <c r="F492" s="2" t="s">
        <v>66</v>
      </c>
      <c r="G492" s="2" t="s">
        <v>685</v>
      </c>
      <c r="H492" s="2" t="s">
        <v>20</v>
      </c>
      <c r="I492" s="4">
        <v>1</v>
      </c>
      <c r="J492" s="4">
        <v>670</v>
      </c>
      <c r="K492" s="4">
        <v>5</v>
      </c>
      <c r="L492" s="5">
        <f t="shared" si="21"/>
        <v>636.5</v>
      </c>
      <c r="M492" s="5">
        <f t="shared" si="22"/>
        <v>413.72500000000002</v>
      </c>
      <c r="N492" s="5">
        <f t="shared" si="23"/>
        <v>222.77499999999998</v>
      </c>
    </row>
    <row r="493" spans="1:14">
      <c r="A493" s="6" t="s">
        <v>743</v>
      </c>
      <c r="B493" s="7">
        <v>45649</v>
      </c>
      <c r="C493" s="6" t="s">
        <v>33</v>
      </c>
      <c r="D493" s="6" t="s">
        <v>34</v>
      </c>
      <c r="E493" s="6" t="s">
        <v>42</v>
      </c>
      <c r="F493" s="6" t="s">
        <v>217</v>
      </c>
      <c r="G493" s="6" t="s">
        <v>503</v>
      </c>
      <c r="H493" s="6" t="s">
        <v>45</v>
      </c>
      <c r="I493" s="8">
        <v>4</v>
      </c>
      <c r="J493" s="8">
        <v>710</v>
      </c>
      <c r="K493" s="8">
        <v>5</v>
      </c>
      <c r="L493" s="9">
        <f t="shared" si="21"/>
        <v>2698</v>
      </c>
      <c r="M493" s="9">
        <f t="shared" si="22"/>
        <v>1753.7</v>
      </c>
      <c r="N493" s="9">
        <f t="shared" si="23"/>
        <v>944.3</v>
      </c>
    </row>
    <row r="494" spans="1:14">
      <c r="A494" s="2" t="s">
        <v>744</v>
      </c>
      <c r="B494" s="3">
        <v>45651</v>
      </c>
      <c r="C494" s="2" t="s">
        <v>22</v>
      </c>
      <c r="D494" s="2" t="s">
        <v>23</v>
      </c>
      <c r="E494" s="2" t="s">
        <v>35</v>
      </c>
      <c r="F494" s="2" t="s">
        <v>60</v>
      </c>
      <c r="G494" s="2" t="s">
        <v>311</v>
      </c>
      <c r="H494" s="2" t="s">
        <v>52</v>
      </c>
      <c r="I494" s="4">
        <v>5</v>
      </c>
      <c r="J494" s="4">
        <v>650</v>
      </c>
      <c r="K494" s="4">
        <v>10</v>
      </c>
      <c r="L494" s="5">
        <f t="shared" si="21"/>
        <v>2925</v>
      </c>
      <c r="M494" s="5">
        <f t="shared" si="22"/>
        <v>1901.25</v>
      </c>
      <c r="N494" s="5">
        <f t="shared" si="23"/>
        <v>1023.75</v>
      </c>
    </row>
    <row r="495" spans="1:14">
      <c r="A495" s="6" t="s">
        <v>745</v>
      </c>
      <c r="B495" s="7">
        <v>45652</v>
      </c>
      <c r="C495" s="6" t="s">
        <v>15</v>
      </c>
      <c r="D495" s="6" t="s">
        <v>16</v>
      </c>
      <c r="E495" s="6" t="s">
        <v>24</v>
      </c>
      <c r="F495" s="6" t="s">
        <v>125</v>
      </c>
      <c r="G495" s="6" t="s">
        <v>421</v>
      </c>
      <c r="H495" s="6" t="s">
        <v>20</v>
      </c>
      <c r="I495" s="8">
        <v>3</v>
      </c>
      <c r="J495" s="8">
        <v>490</v>
      </c>
      <c r="K495" s="8">
        <v>5</v>
      </c>
      <c r="L495" s="9">
        <f t="shared" si="21"/>
        <v>1396.5</v>
      </c>
      <c r="M495" s="9">
        <f t="shared" si="22"/>
        <v>907.72500000000002</v>
      </c>
      <c r="N495" s="9">
        <f t="shared" si="23"/>
        <v>488.77499999999998</v>
      </c>
    </row>
    <row r="496" spans="1:14">
      <c r="A496" s="2" t="s">
        <v>746</v>
      </c>
      <c r="B496" s="3">
        <v>45652</v>
      </c>
      <c r="C496" s="2" t="s">
        <v>28</v>
      </c>
      <c r="D496" s="2" t="s">
        <v>29</v>
      </c>
      <c r="E496" s="2" t="s">
        <v>42</v>
      </c>
      <c r="F496" s="2" t="s">
        <v>217</v>
      </c>
      <c r="G496" s="2" t="s">
        <v>540</v>
      </c>
      <c r="H496" s="2" t="s">
        <v>52</v>
      </c>
      <c r="I496" s="4">
        <v>3</v>
      </c>
      <c r="J496" s="4">
        <v>620</v>
      </c>
      <c r="K496" s="4">
        <v>15</v>
      </c>
      <c r="L496" s="5">
        <f t="shared" si="21"/>
        <v>1581</v>
      </c>
      <c r="M496" s="5">
        <f t="shared" si="22"/>
        <v>1027.6500000000001</v>
      </c>
      <c r="N496" s="5">
        <f t="shared" si="23"/>
        <v>553.34999999999991</v>
      </c>
    </row>
    <row r="497" spans="1:14">
      <c r="A497" s="6" t="s">
        <v>747</v>
      </c>
      <c r="B497" s="7">
        <v>45655</v>
      </c>
      <c r="C497" s="6" t="s">
        <v>107</v>
      </c>
      <c r="D497" s="6" t="s">
        <v>108</v>
      </c>
      <c r="E497" s="6" t="s">
        <v>17</v>
      </c>
      <c r="F497" s="6" t="s">
        <v>30</v>
      </c>
      <c r="G497" s="6" t="s">
        <v>397</v>
      </c>
      <c r="H497" s="6" t="s">
        <v>52</v>
      </c>
      <c r="I497" s="8">
        <v>1</v>
      </c>
      <c r="J497" s="8">
        <v>230</v>
      </c>
      <c r="K497" s="8">
        <v>15</v>
      </c>
      <c r="L497" s="9">
        <f t="shared" si="21"/>
        <v>195.5</v>
      </c>
      <c r="M497" s="9">
        <f t="shared" si="22"/>
        <v>127.075</v>
      </c>
      <c r="N497" s="9">
        <f t="shared" si="23"/>
        <v>68.424999999999997</v>
      </c>
    </row>
    <row r="498" spans="1:14">
      <c r="A498" s="2" t="s">
        <v>748</v>
      </c>
      <c r="B498" s="3">
        <v>45655</v>
      </c>
      <c r="C498" s="2" t="s">
        <v>28</v>
      </c>
      <c r="D498" s="2" t="s">
        <v>29</v>
      </c>
      <c r="E498" s="2" t="s">
        <v>17</v>
      </c>
      <c r="F498" s="2" t="s">
        <v>206</v>
      </c>
      <c r="G498" s="2" t="s">
        <v>236</v>
      </c>
      <c r="H498" s="2" t="s">
        <v>45</v>
      </c>
      <c r="I498" s="4">
        <v>1</v>
      </c>
      <c r="J498" s="4">
        <v>110</v>
      </c>
      <c r="K498" s="4">
        <v>0</v>
      </c>
      <c r="L498" s="5">
        <f t="shared" si="21"/>
        <v>110</v>
      </c>
      <c r="M498" s="5">
        <f t="shared" si="22"/>
        <v>71.5</v>
      </c>
      <c r="N498" s="5">
        <f t="shared" si="23"/>
        <v>38.5</v>
      </c>
    </row>
    <row r="499" spans="1:14">
      <c r="A499" s="6" t="s">
        <v>749</v>
      </c>
      <c r="B499" s="7">
        <v>45656</v>
      </c>
      <c r="C499" s="6" t="s">
        <v>22</v>
      </c>
      <c r="D499" s="6" t="s">
        <v>23</v>
      </c>
      <c r="E499" s="6" t="s">
        <v>42</v>
      </c>
      <c r="F499" s="6" t="s">
        <v>199</v>
      </c>
      <c r="G499" s="6" t="s">
        <v>713</v>
      </c>
      <c r="H499" s="6" t="s">
        <v>45</v>
      </c>
      <c r="I499" s="8">
        <v>4</v>
      </c>
      <c r="J499" s="8">
        <v>320</v>
      </c>
      <c r="K499" s="8">
        <v>0</v>
      </c>
      <c r="L499" s="9">
        <f t="shared" si="21"/>
        <v>1280</v>
      </c>
      <c r="M499" s="9">
        <f t="shared" si="22"/>
        <v>832</v>
      </c>
      <c r="N499" s="9">
        <f t="shared" si="23"/>
        <v>448</v>
      </c>
    </row>
    <row r="500" spans="1:14">
      <c r="A500" s="2" t="s">
        <v>750</v>
      </c>
      <c r="B500" s="3">
        <v>45656</v>
      </c>
      <c r="C500" s="2" t="s">
        <v>28</v>
      </c>
      <c r="D500" s="2" t="s">
        <v>29</v>
      </c>
      <c r="E500" s="2" t="s">
        <v>42</v>
      </c>
      <c r="F500" s="2" t="s">
        <v>199</v>
      </c>
      <c r="G500" s="2" t="s">
        <v>585</v>
      </c>
      <c r="H500" s="2" t="s">
        <v>20</v>
      </c>
      <c r="I500" s="4">
        <v>3</v>
      </c>
      <c r="J500" s="4">
        <v>330</v>
      </c>
      <c r="K500" s="4">
        <v>15</v>
      </c>
      <c r="L500" s="5">
        <f t="shared" si="21"/>
        <v>841.5</v>
      </c>
      <c r="M500" s="5">
        <f t="shared" si="22"/>
        <v>546.97500000000002</v>
      </c>
      <c r="N500" s="5">
        <f t="shared" si="23"/>
        <v>294.52499999999998</v>
      </c>
    </row>
    <row r="501" spans="1:14">
      <c r="A501" s="6" t="s">
        <v>751</v>
      </c>
      <c r="B501" s="7">
        <v>45657</v>
      </c>
      <c r="C501" s="6" t="s">
        <v>15</v>
      </c>
      <c r="D501" s="6" t="s">
        <v>16</v>
      </c>
      <c r="E501" s="6" t="s">
        <v>17</v>
      </c>
      <c r="F501" s="6" t="s">
        <v>18</v>
      </c>
      <c r="G501" s="6" t="s">
        <v>323</v>
      </c>
      <c r="H501" s="6" t="s">
        <v>20</v>
      </c>
      <c r="I501" s="8">
        <v>1</v>
      </c>
      <c r="J501" s="8">
        <v>310</v>
      </c>
      <c r="K501" s="8">
        <v>15</v>
      </c>
      <c r="L501" s="9">
        <f t="shared" si="21"/>
        <v>263.5</v>
      </c>
      <c r="M501" s="9">
        <f t="shared" si="22"/>
        <v>171.27500000000001</v>
      </c>
      <c r="N501" s="9">
        <f t="shared" si="23"/>
        <v>92.224999999999994</v>
      </c>
    </row>
  </sheetData>
  <autoFilter ref="A1:N501" xr:uid="{00000000-0009-0000-0000-000000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4D770-A9C3-4ADF-9246-EE078DBF6059}">
  <sheetPr>
    <tabColor rgb="FFFF0000"/>
  </sheetPr>
  <dimension ref="A1:N37"/>
  <sheetViews>
    <sheetView showGridLines="0" showRowColHeaders="0" workbookViewId="0">
      <pane ySplit="1" topLeftCell="A2" activePane="bottomLeft" state="frozen"/>
      <selection activeCell="A20" sqref="A20"/>
      <selection pane="bottomLeft" activeCell="A20" sqref="A20"/>
    </sheetView>
  </sheetViews>
  <sheetFormatPr defaultRowHeight="14.4"/>
  <cols>
    <col min="1" max="1" width="10.44140625" customWidth="1"/>
    <col min="2" max="2" width="11.33203125" customWidth="1"/>
    <col min="3" max="3" width="9.33203125" customWidth="1"/>
    <col min="4" max="4" width="6" customWidth="1"/>
    <col min="5" max="5" width="7.77734375" customWidth="1"/>
    <col min="8" max="8" width="11.109375" customWidth="1"/>
    <col min="9" max="9" width="10.109375" customWidth="1"/>
    <col min="10" max="10" width="11.109375" customWidth="1"/>
    <col min="11" max="11" width="14.88671875" customWidth="1"/>
    <col min="14" max="14" width="10.5546875" customWidth="1"/>
  </cols>
  <sheetData>
    <row r="1" spans="1:14" ht="23.4">
      <c r="A1" s="55" t="s">
        <v>801</v>
      </c>
      <c r="B1" s="62"/>
      <c r="C1" s="62"/>
      <c r="D1" s="62"/>
      <c r="E1" s="62"/>
      <c r="F1" s="62"/>
      <c r="G1" s="62"/>
      <c r="H1" s="62"/>
      <c r="I1" s="62"/>
      <c r="J1" s="62"/>
      <c r="K1" s="62"/>
      <c r="L1" s="62"/>
      <c r="M1" s="62"/>
      <c r="N1" s="62"/>
    </row>
    <row r="2" spans="1:14">
      <c r="A2" s="70" t="s">
        <v>802</v>
      </c>
      <c r="B2" s="70"/>
      <c r="C2" s="70"/>
      <c r="D2" s="70"/>
      <c r="E2" s="70"/>
      <c r="F2" s="70"/>
      <c r="G2" s="70"/>
      <c r="H2" s="70"/>
      <c r="I2" s="70"/>
      <c r="J2" s="70"/>
      <c r="K2" s="70"/>
      <c r="L2" s="70"/>
      <c r="M2" s="70"/>
      <c r="N2" s="70"/>
    </row>
    <row r="4" spans="1:14">
      <c r="A4" s="71" t="str">
        <f>"⚠️ "&amp;COUNTIF(H6:H37,"🔴 Critical")&amp;" products are critically low on stock. Reorder immediately."</f>
        <v>⚠️ 6 products are critically low on stock. Reorder immediately.</v>
      </c>
      <c r="B4" s="71"/>
      <c r="C4" s="71"/>
      <c r="D4" s="71"/>
      <c r="E4" s="71"/>
      <c r="F4" s="71"/>
      <c r="G4" s="71"/>
      <c r="H4" s="71"/>
      <c r="I4" s="71"/>
      <c r="J4" s="71"/>
      <c r="K4" s="71"/>
      <c r="L4" s="71"/>
      <c r="M4" s="71"/>
      <c r="N4" s="71"/>
    </row>
    <row r="5" spans="1:14" ht="30">
      <c r="A5" s="44" t="s">
        <v>5</v>
      </c>
      <c r="B5" s="44" t="s">
        <v>4</v>
      </c>
      <c r="C5" s="18" t="s">
        <v>9</v>
      </c>
      <c r="D5" s="44" t="s">
        <v>803</v>
      </c>
      <c r="E5" s="44" t="s">
        <v>804</v>
      </c>
      <c r="F5" s="18" t="s">
        <v>805</v>
      </c>
      <c r="G5" s="18" t="s">
        <v>806</v>
      </c>
      <c r="H5" s="18" t="s">
        <v>807</v>
      </c>
      <c r="I5" s="18" t="s">
        <v>808</v>
      </c>
      <c r="J5" s="18" t="s">
        <v>809</v>
      </c>
      <c r="K5" s="18" t="s">
        <v>810</v>
      </c>
    </row>
    <row r="6" spans="1:14" ht="45">
      <c r="A6" s="17" t="s">
        <v>121</v>
      </c>
      <c r="B6" s="17" t="s">
        <v>42</v>
      </c>
      <c r="C6" s="17">
        <v>1899</v>
      </c>
      <c r="D6">
        <f>COUNTIF(RAW_DATA!$F$2:$F$501,A6)</f>
        <v>14</v>
      </c>
      <c r="E6">
        <v>45</v>
      </c>
      <c r="F6">
        <v>20</v>
      </c>
      <c r="G6">
        <f>IFERROR(ROUND(E6/D6*30,0),"N/A")</f>
        <v>96</v>
      </c>
      <c r="H6" t="str">
        <f>IF(E6&lt;=0,"⛔ Out of Stock",IF(E6&lt;F6,"🔴 Critical",IF(E6&lt;F6*2,"🟡 Low","🟢 Healthy")))</f>
        <v>🟢 Healthy</v>
      </c>
      <c r="I6" s="45">
        <f>E6*C6</f>
        <v>85455</v>
      </c>
      <c r="J6" t="str">
        <f>IF(D6&lt;5,"🐢 Slow Mover","✅ Active")</f>
        <v>✅ Active</v>
      </c>
      <c r="K6" t="str">
        <f>IF(E6&lt;=0,"ORDER NOW — OUT OF STOCK",IF(E6&lt;F6,"Reorder urgently",IF(J6="🐢 Slow Mover","Review pricing","OK")))</f>
        <v>OK</v>
      </c>
      <c r="M6" s="46" t="s">
        <v>811</v>
      </c>
      <c r="N6" s="47">
        <f>SUM(I6:I37)</f>
        <v>993333</v>
      </c>
    </row>
    <row r="7" spans="1:14" ht="30">
      <c r="A7" s="17" t="s">
        <v>43</v>
      </c>
      <c r="B7" s="17" t="s">
        <v>42</v>
      </c>
      <c r="C7" s="17">
        <v>3499</v>
      </c>
      <c r="D7">
        <f>COUNTIF(RAW_DATA!$F$2:$F$501,A7)</f>
        <v>20</v>
      </c>
      <c r="E7">
        <v>12</v>
      </c>
      <c r="F7">
        <v>20</v>
      </c>
      <c r="G7">
        <f t="shared" ref="G7:G37" si="0">IFERROR(ROUND(E7/D7*30,0),"N/A")</f>
        <v>18</v>
      </c>
      <c r="H7" t="str">
        <f t="shared" ref="H7:H37" si="1">IF(E7&lt;=0,"⛔ Out of Stock",IF(E7&lt;F7,"🔴 Critical",IF(E7&lt;F7*2,"🟡 Low","🟢 Healthy")))</f>
        <v>🔴 Critical</v>
      </c>
      <c r="I7" s="45">
        <f t="shared" ref="I7:I37" si="2">E7*C7</f>
        <v>41988</v>
      </c>
      <c r="J7" t="str">
        <f t="shared" ref="J7:J37" si="3">IF(D7&lt;5,"🐢 Slow Mover","✅ Active")</f>
        <v>✅ Active</v>
      </c>
      <c r="K7" t="str">
        <f t="shared" ref="K7:K37" si="4">IF(E7&lt;=0,"ORDER NOW — OUT OF STOCK",IF(E7&lt;F7,"Reorder urgently",IF(J7="🐢 Slow Mover","Review pricing","OK")))</f>
        <v>Reorder urgently</v>
      </c>
      <c r="M7" s="46" t="s">
        <v>812</v>
      </c>
      <c r="N7" s="46">
        <f>COUNTIF(H6:H37,"🔴 Critical")</f>
        <v>6</v>
      </c>
    </row>
    <row r="8" spans="1:14" ht="30">
      <c r="A8" s="17" t="s">
        <v>74</v>
      </c>
      <c r="B8" s="17" t="s">
        <v>42</v>
      </c>
      <c r="C8" s="17">
        <v>1299</v>
      </c>
      <c r="D8">
        <f>COUNTIF(RAW_DATA!$F$2:$F$501,A8)</f>
        <v>13</v>
      </c>
      <c r="E8">
        <v>78</v>
      </c>
      <c r="F8">
        <v>20</v>
      </c>
      <c r="G8">
        <f t="shared" si="0"/>
        <v>180</v>
      </c>
      <c r="H8" t="str">
        <f t="shared" si="1"/>
        <v>🟢 Healthy</v>
      </c>
      <c r="I8" s="45">
        <f t="shared" si="2"/>
        <v>101322</v>
      </c>
      <c r="J8" t="str">
        <f t="shared" si="3"/>
        <v>✅ Active</v>
      </c>
      <c r="K8" t="str">
        <f t="shared" si="4"/>
        <v>OK</v>
      </c>
      <c r="M8" s="46" t="s">
        <v>813</v>
      </c>
      <c r="N8" s="35">
        <f>COUNTIF(H6:H37,"⛔ Out of Stock")</f>
        <v>0</v>
      </c>
    </row>
    <row r="9" spans="1:14" ht="28.8">
      <c r="A9" s="17" t="s">
        <v>113</v>
      </c>
      <c r="B9" s="17" t="s">
        <v>42</v>
      </c>
      <c r="C9" s="17">
        <v>799</v>
      </c>
      <c r="D9">
        <f>COUNTIF(RAW_DATA!$F$2:$F$501,A9)</f>
        <v>17</v>
      </c>
      <c r="E9">
        <v>34</v>
      </c>
      <c r="F9">
        <v>20</v>
      </c>
      <c r="G9">
        <f t="shared" si="0"/>
        <v>60</v>
      </c>
      <c r="H9" t="str">
        <f t="shared" si="1"/>
        <v>🟡 Low</v>
      </c>
      <c r="I9" s="45">
        <f t="shared" si="2"/>
        <v>27166</v>
      </c>
      <c r="J9" t="str">
        <f t="shared" si="3"/>
        <v>✅ Active</v>
      </c>
      <c r="K9" t="str">
        <f t="shared" si="4"/>
        <v>OK</v>
      </c>
      <c r="M9" s="35" t="s">
        <v>814</v>
      </c>
      <c r="N9" s="46">
        <f>COUNTIF(J6:J37,"🐢 Slow Mover")</f>
        <v>0</v>
      </c>
    </row>
    <row r="10" spans="1:14" ht="28.8">
      <c r="A10" s="17" t="s">
        <v>217</v>
      </c>
      <c r="B10" s="17" t="s">
        <v>42</v>
      </c>
      <c r="C10" s="17">
        <v>649</v>
      </c>
      <c r="D10">
        <f>COUNTIF(RAW_DATA!$F$2:$F$501,A10)</f>
        <v>12</v>
      </c>
      <c r="E10">
        <v>56</v>
      </c>
      <c r="F10">
        <v>20</v>
      </c>
      <c r="G10">
        <f t="shared" si="0"/>
        <v>140</v>
      </c>
      <c r="H10" t="str">
        <f t="shared" si="1"/>
        <v>🟢 Healthy</v>
      </c>
      <c r="I10" s="45">
        <f t="shared" si="2"/>
        <v>36344</v>
      </c>
      <c r="J10" t="str">
        <f t="shared" si="3"/>
        <v>✅ Active</v>
      </c>
      <c r="K10" t="str">
        <f t="shared" si="4"/>
        <v>OK</v>
      </c>
    </row>
    <row r="11" spans="1:14" ht="28.8">
      <c r="A11" s="17" t="s">
        <v>199</v>
      </c>
      <c r="B11" s="17" t="s">
        <v>42</v>
      </c>
      <c r="C11" s="17">
        <v>349</v>
      </c>
      <c r="D11">
        <f>COUNTIF(RAW_DATA!$F$2:$F$501,A11)</f>
        <v>17</v>
      </c>
      <c r="E11">
        <v>8</v>
      </c>
      <c r="F11">
        <v>20</v>
      </c>
      <c r="G11">
        <f t="shared" si="0"/>
        <v>14</v>
      </c>
      <c r="H11" t="str">
        <f t="shared" si="1"/>
        <v>🔴 Critical</v>
      </c>
      <c r="I11" s="45">
        <f t="shared" si="2"/>
        <v>2792</v>
      </c>
      <c r="J11" t="str">
        <f t="shared" si="3"/>
        <v>✅ Active</v>
      </c>
      <c r="K11" t="str">
        <f t="shared" si="4"/>
        <v>Reorder urgently</v>
      </c>
    </row>
    <row r="12" spans="1:14" ht="43.2">
      <c r="A12" s="17" t="s">
        <v>47</v>
      </c>
      <c r="B12" s="17" t="s">
        <v>42</v>
      </c>
      <c r="C12" s="17">
        <v>999</v>
      </c>
      <c r="D12">
        <f>COUNTIF(RAW_DATA!$F$2:$F$501,A12)</f>
        <v>16</v>
      </c>
      <c r="E12">
        <v>23</v>
      </c>
      <c r="F12">
        <v>20</v>
      </c>
      <c r="G12">
        <f t="shared" si="0"/>
        <v>43</v>
      </c>
      <c r="H12" t="str">
        <f t="shared" si="1"/>
        <v>🟡 Low</v>
      </c>
      <c r="I12" s="45">
        <f t="shared" si="2"/>
        <v>22977</v>
      </c>
      <c r="J12" t="str">
        <f t="shared" si="3"/>
        <v>✅ Active</v>
      </c>
      <c r="K12" t="str">
        <f t="shared" si="4"/>
        <v>OK</v>
      </c>
    </row>
    <row r="13" spans="1:14" ht="28.8">
      <c r="A13" s="17" t="s">
        <v>174</v>
      </c>
      <c r="B13" s="17" t="s">
        <v>42</v>
      </c>
      <c r="C13" s="17">
        <v>1499</v>
      </c>
      <c r="D13">
        <f>COUNTIF(RAW_DATA!$F$2:$F$501,A13)</f>
        <v>8</v>
      </c>
      <c r="E13">
        <v>67</v>
      </c>
      <c r="F13">
        <v>20</v>
      </c>
      <c r="G13">
        <f t="shared" si="0"/>
        <v>251</v>
      </c>
      <c r="H13" t="str">
        <f t="shared" si="1"/>
        <v>🟢 Healthy</v>
      </c>
      <c r="I13" s="45">
        <f t="shared" si="2"/>
        <v>100433</v>
      </c>
      <c r="J13" t="str">
        <f t="shared" si="3"/>
        <v>✅ Active</v>
      </c>
      <c r="K13" t="str">
        <f t="shared" si="4"/>
        <v>OK</v>
      </c>
    </row>
    <row r="14" spans="1:14" ht="28.8">
      <c r="A14" s="17" t="s">
        <v>125</v>
      </c>
      <c r="B14" s="17" t="s">
        <v>24</v>
      </c>
      <c r="C14" s="17">
        <v>499</v>
      </c>
      <c r="D14">
        <f>COUNTIF(RAW_DATA!$F$2:$F$501,A14)</f>
        <v>15</v>
      </c>
      <c r="E14">
        <v>90</v>
      </c>
      <c r="F14">
        <v>20</v>
      </c>
      <c r="G14">
        <f t="shared" si="0"/>
        <v>180</v>
      </c>
      <c r="H14" t="str">
        <f t="shared" si="1"/>
        <v>🟢 Healthy</v>
      </c>
      <c r="I14" s="45">
        <f t="shared" si="2"/>
        <v>44910</v>
      </c>
      <c r="J14" t="str">
        <f t="shared" si="3"/>
        <v>✅ Active</v>
      </c>
      <c r="K14" t="str">
        <f t="shared" si="4"/>
        <v>OK</v>
      </c>
    </row>
    <row r="15" spans="1:14" ht="28.8">
      <c r="A15" s="17" t="s">
        <v>66</v>
      </c>
      <c r="B15" s="17" t="s">
        <v>24</v>
      </c>
      <c r="C15" s="17">
        <v>699</v>
      </c>
      <c r="D15">
        <f>COUNTIF(RAW_DATA!$F$2:$F$501,A15)</f>
        <v>19</v>
      </c>
      <c r="E15">
        <v>15</v>
      </c>
      <c r="F15">
        <v>20</v>
      </c>
      <c r="G15">
        <f t="shared" si="0"/>
        <v>24</v>
      </c>
      <c r="H15" t="str">
        <f t="shared" si="1"/>
        <v>🔴 Critical</v>
      </c>
      <c r="I15" s="45">
        <f t="shared" si="2"/>
        <v>10485</v>
      </c>
      <c r="J15" t="str">
        <f t="shared" si="3"/>
        <v>✅ Active</v>
      </c>
      <c r="K15" t="str">
        <f t="shared" si="4"/>
        <v>Reorder urgently</v>
      </c>
    </row>
    <row r="16" spans="1:14" ht="28.8">
      <c r="A16" s="17" t="s">
        <v>71</v>
      </c>
      <c r="B16" s="17" t="s">
        <v>24</v>
      </c>
      <c r="C16" s="17">
        <v>899</v>
      </c>
      <c r="D16">
        <f>COUNTIF(RAW_DATA!$F$2:$F$501,A16)</f>
        <v>14</v>
      </c>
      <c r="E16">
        <v>43</v>
      </c>
      <c r="F16">
        <v>20</v>
      </c>
      <c r="G16">
        <f t="shared" si="0"/>
        <v>92</v>
      </c>
      <c r="H16" t="str">
        <f t="shared" si="1"/>
        <v>🟢 Healthy</v>
      </c>
      <c r="I16" s="45">
        <f t="shared" si="2"/>
        <v>38657</v>
      </c>
      <c r="J16" t="str">
        <f t="shared" si="3"/>
        <v>✅ Active</v>
      </c>
      <c r="K16" t="str">
        <f t="shared" si="4"/>
        <v>OK</v>
      </c>
    </row>
    <row r="17" spans="1:11" ht="28.8">
      <c r="A17" s="17" t="s">
        <v>39</v>
      </c>
      <c r="B17" s="17" t="s">
        <v>24</v>
      </c>
      <c r="C17" s="17">
        <v>1199</v>
      </c>
      <c r="D17">
        <f>COUNTIF(RAW_DATA!$F$2:$F$501,A17)</f>
        <v>17</v>
      </c>
      <c r="E17">
        <v>28</v>
      </c>
      <c r="F17">
        <v>20</v>
      </c>
      <c r="G17">
        <f t="shared" si="0"/>
        <v>49</v>
      </c>
      <c r="H17" t="str">
        <f t="shared" si="1"/>
        <v>🟡 Low</v>
      </c>
      <c r="I17" s="45">
        <f t="shared" si="2"/>
        <v>33572</v>
      </c>
      <c r="J17" t="str">
        <f t="shared" si="3"/>
        <v>✅ Active</v>
      </c>
      <c r="K17" t="str">
        <f t="shared" si="4"/>
        <v>OK</v>
      </c>
    </row>
    <row r="18" spans="1:11" ht="28.8">
      <c r="A18" s="17" t="s">
        <v>83</v>
      </c>
      <c r="B18" s="17" t="s">
        <v>24</v>
      </c>
      <c r="C18" s="17">
        <v>599</v>
      </c>
      <c r="D18">
        <f>COUNTIF(RAW_DATA!$F$2:$F$501,A18)</f>
        <v>14</v>
      </c>
      <c r="E18">
        <v>62</v>
      </c>
      <c r="F18">
        <v>20</v>
      </c>
      <c r="G18">
        <f t="shared" si="0"/>
        <v>133</v>
      </c>
      <c r="H18" t="str">
        <f t="shared" si="1"/>
        <v>🟢 Healthy</v>
      </c>
      <c r="I18" s="45">
        <f t="shared" si="2"/>
        <v>37138</v>
      </c>
      <c r="J18" t="str">
        <f t="shared" si="3"/>
        <v>✅ Active</v>
      </c>
      <c r="K18" t="str">
        <f t="shared" si="4"/>
        <v>OK</v>
      </c>
    </row>
    <row r="19" spans="1:11" ht="28.8">
      <c r="A19" s="17" t="s">
        <v>54</v>
      </c>
      <c r="B19" s="17" t="s">
        <v>24</v>
      </c>
      <c r="C19" s="17">
        <v>349</v>
      </c>
      <c r="D19">
        <f>COUNTIF(RAW_DATA!$F$2:$F$501,A19)</f>
        <v>13</v>
      </c>
      <c r="E19">
        <v>7</v>
      </c>
      <c r="F19">
        <v>20</v>
      </c>
      <c r="G19">
        <f t="shared" si="0"/>
        <v>16</v>
      </c>
      <c r="H19" t="str">
        <f t="shared" si="1"/>
        <v>🔴 Critical</v>
      </c>
      <c r="I19" s="45">
        <f t="shared" si="2"/>
        <v>2443</v>
      </c>
      <c r="J19" t="str">
        <f t="shared" si="3"/>
        <v>✅ Active</v>
      </c>
      <c r="K19" t="str">
        <f t="shared" si="4"/>
        <v>Reorder urgently</v>
      </c>
    </row>
    <row r="20" spans="1:11" ht="28.8">
      <c r="A20" s="17" t="s">
        <v>25</v>
      </c>
      <c r="B20" s="17" t="s">
        <v>24</v>
      </c>
      <c r="C20" s="17">
        <v>749</v>
      </c>
      <c r="D20">
        <f>COUNTIF(RAW_DATA!$F$2:$F$501,A20)</f>
        <v>17</v>
      </c>
      <c r="E20">
        <v>38</v>
      </c>
      <c r="F20">
        <v>20</v>
      </c>
      <c r="G20">
        <f t="shared" si="0"/>
        <v>67</v>
      </c>
      <c r="H20" t="str">
        <f t="shared" si="1"/>
        <v>🟡 Low</v>
      </c>
      <c r="I20" s="45">
        <f t="shared" si="2"/>
        <v>28462</v>
      </c>
      <c r="J20" t="str">
        <f t="shared" si="3"/>
        <v>✅ Active</v>
      </c>
      <c r="K20" t="str">
        <f t="shared" si="4"/>
        <v>OK</v>
      </c>
    </row>
    <row r="21" spans="1:11" ht="28.8">
      <c r="A21" s="17" t="s">
        <v>63</v>
      </c>
      <c r="B21" s="17" t="s">
        <v>24</v>
      </c>
      <c r="C21" s="17">
        <v>1499</v>
      </c>
      <c r="D21">
        <f>COUNTIF(RAW_DATA!$F$2:$F$501,A21)</f>
        <v>24</v>
      </c>
      <c r="E21">
        <v>51</v>
      </c>
      <c r="F21">
        <v>20</v>
      </c>
      <c r="G21">
        <f t="shared" si="0"/>
        <v>64</v>
      </c>
      <c r="H21" t="str">
        <f t="shared" si="1"/>
        <v>🟢 Healthy</v>
      </c>
      <c r="I21" s="45">
        <f t="shared" si="2"/>
        <v>76449</v>
      </c>
      <c r="J21" t="str">
        <f t="shared" si="3"/>
        <v>✅ Active</v>
      </c>
      <c r="K21" t="str">
        <f t="shared" si="4"/>
        <v>OK</v>
      </c>
    </row>
    <row r="22" spans="1:11" ht="28.8">
      <c r="A22" s="17" t="s">
        <v>267</v>
      </c>
      <c r="B22" s="17" t="s">
        <v>17</v>
      </c>
      <c r="C22" s="17">
        <v>349</v>
      </c>
      <c r="D22">
        <f>COUNTIF(RAW_DATA!$F$2:$F$501,A22)</f>
        <v>10</v>
      </c>
      <c r="E22">
        <v>95</v>
      </c>
      <c r="F22">
        <v>20</v>
      </c>
      <c r="G22">
        <f t="shared" si="0"/>
        <v>285</v>
      </c>
      <c r="H22" t="str">
        <f t="shared" si="1"/>
        <v>🟢 Healthy</v>
      </c>
      <c r="I22" s="45">
        <f t="shared" si="2"/>
        <v>33155</v>
      </c>
      <c r="J22" t="str">
        <f t="shared" si="3"/>
        <v>✅ Active</v>
      </c>
      <c r="K22" t="str">
        <f t="shared" si="4"/>
        <v>OK</v>
      </c>
    </row>
    <row r="23" spans="1:11" ht="28.8">
      <c r="A23" s="17" t="s">
        <v>116</v>
      </c>
      <c r="B23" s="17" t="s">
        <v>17</v>
      </c>
      <c r="C23" s="17">
        <v>149</v>
      </c>
      <c r="D23">
        <f>COUNTIF(RAW_DATA!$F$2:$F$501,A23)</f>
        <v>18</v>
      </c>
      <c r="E23">
        <v>44</v>
      </c>
      <c r="F23">
        <v>20</v>
      </c>
      <c r="G23">
        <f t="shared" si="0"/>
        <v>73</v>
      </c>
      <c r="H23" t="str">
        <f t="shared" si="1"/>
        <v>🟢 Healthy</v>
      </c>
      <c r="I23" s="45">
        <f t="shared" si="2"/>
        <v>6556</v>
      </c>
      <c r="J23" t="str">
        <f t="shared" si="3"/>
        <v>✅ Active</v>
      </c>
      <c r="K23" t="str">
        <f t="shared" si="4"/>
        <v>OK</v>
      </c>
    </row>
    <row r="24" spans="1:11" ht="28.8">
      <c r="A24" s="17" t="s">
        <v>80</v>
      </c>
      <c r="B24" s="17" t="s">
        <v>17</v>
      </c>
      <c r="C24" s="17">
        <v>129</v>
      </c>
      <c r="D24">
        <f>COUNTIF(RAW_DATA!$F$2:$F$501,A24)</f>
        <v>18</v>
      </c>
      <c r="E24">
        <v>33</v>
      </c>
      <c r="F24">
        <v>20</v>
      </c>
      <c r="G24">
        <f t="shared" si="0"/>
        <v>55</v>
      </c>
      <c r="H24" t="str">
        <f t="shared" si="1"/>
        <v>🟡 Low</v>
      </c>
      <c r="I24" s="45">
        <f t="shared" si="2"/>
        <v>4257</v>
      </c>
      <c r="J24" t="str">
        <f t="shared" si="3"/>
        <v>✅ Active</v>
      </c>
      <c r="K24" t="str">
        <f t="shared" si="4"/>
        <v>OK</v>
      </c>
    </row>
    <row r="25" spans="1:11" ht="28.8">
      <c r="A25" s="17" t="s">
        <v>30</v>
      </c>
      <c r="B25" s="17" t="s">
        <v>17</v>
      </c>
      <c r="C25" s="17">
        <v>249</v>
      </c>
      <c r="D25">
        <f>COUNTIF(RAW_DATA!$F$2:$F$501,A25)</f>
        <v>12</v>
      </c>
      <c r="E25">
        <v>71</v>
      </c>
      <c r="F25">
        <v>20</v>
      </c>
      <c r="G25">
        <f t="shared" si="0"/>
        <v>178</v>
      </c>
      <c r="H25" t="str">
        <f t="shared" si="1"/>
        <v>🟢 Healthy</v>
      </c>
      <c r="I25" s="45">
        <f t="shared" si="2"/>
        <v>17679</v>
      </c>
      <c r="J25" t="str">
        <f t="shared" si="3"/>
        <v>✅ Active</v>
      </c>
      <c r="K25" t="str">
        <f t="shared" si="4"/>
        <v>OK</v>
      </c>
    </row>
    <row r="26" spans="1:11" ht="28.8">
      <c r="A26" s="17" t="s">
        <v>224</v>
      </c>
      <c r="B26" s="17" t="s">
        <v>17</v>
      </c>
      <c r="C26" s="17">
        <v>89</v>
      </c>
      <c r="D26">
        <f>COUNTIF(RAW_DATA!$F$2:$F$501,A26)</f>
        <v>14</v>
      </c>
      <c r="E26">
        <v>19</v>
      </c>
      <c r="F26">
        <v>20</v>
      </c>
      <c r="G26">
        <f t="shared" si="0"/>
        <v>41</v>
      </c>
      <c r="H26" t="str">
        <f t="shared" si="1"/>
        <v>🔴 Critical</v>
      </c>
      <c r="I26" s="45">
        <f t="shared" si="2"/>
        <v>1691</v>
      </c>
      <c r="J26" t="str">
        <f t="shared" si="3"/>
        <v>✅ Active</v>
      </c>
      <c r="K26" t="str">
        <f t="shared" si="4"/>
        <v>Reorder urgently</v>
      </c>
    </row>
    <row r="27" spans="1:11" ht="28.8">
      <c r="A27" s="17" t="s">
        <v>102</v>
      </c>
      <c r="B27" s="17" t="s">
        <v>17</v>
      </c>
      <c r="C27" s="17">
        <v>199</v>
      </c>
      <c r="D27">
        <f>COUNTIF(RAW_DATA!$F$2:$F$501,A27)</f>
        <v>14</v>
      </c>
      <c r="E27">
        <v>85</v>
      </c>
      <c r="F27">
        <v>20</v>
      </c>
      <c r="G27">
        <f t="shared" si="0"/>
        <v>182</v>
      </c>
      <c r="H27" t="str">
        <f t="shared" si="1"/>
        <v>🟢 Healthy</v>
      </c>
      <c r="I27" s="45">
        <f t="shared" si="2"/>
        <v>16915</v>
      </c>
      <c r="J27" t="str">
        <f t="shared" si="3"/>
        <v>✅ Active</v>
      </c>
      <c r="K27" t="str">
        <f t="shared" si="4"/>
        <v>OK</v>
      </c>
    </row>
    <row r="28" spans="1:11" ht="28.8">
      <c r="A28" s="17" t="s">
        <v>206</v>
      </c>
      <c r="B28" s="17" t="s">
        <v>17</v>
      </c>
      <c r="C28" s="17">
        <v>99</v>
      </c>
      <c r="D28">
        <f>COUNTIF(RAW_DATA!$F$2:$F$501,A28)</f>
        <v>18</v>
      </c>
      <c r="E28">
        <v>26</v>
      </c>
      <c r="F28">
        <v>20</v>
      </c>
      <c r="G28">
        <f t="shared" si="0"/>
        <v>43</v>
      </c>
      <c r="H28" t="str">
        <f t="shared" si="1"/>
        <v>🟡 Low</v>
      </c>
      <c r="I28" s="45">
        <f t="shared" si="2"/>
        <v>2574</v>
      </c>
      <c r="J28" t="str">
        <f t="shared" si="3"/>
        <v>✅ Active</v>
      </c>
      <c r="K28" t="str">
        <f t="shared" si="4"/>
        <v>OK</v>
      </c>
    </row>
    <row r="29" spans="1:11" ht="28.8">
      <c r="A29" s="17" t="s">
        <v>18</v>
      </c>
      <c r="B29" s="17" t="s">
        <v>17</v>
      </c>
      <c r="C29" s="17">
        <v>299</v>
      </c>
      <c r="D29">
        <f>COUNTIF(RAW_DATA!$F$2:$F$501,A29)</f>
        <v>16</v>
      </c>
      <c r="E29">
        <v>48</v>
      </c>
      <c r="F29">
        <v>20</v>
      </c>
      <c r="G29">
        <f t="shared" si="0"/>
        <v>90</v>
      </c>
      <c r="H29" t="str">
        <f t="shared" si="1"/>
        <v>🟢 Healthy</v>
      </c>
      <c r="I29" s="45">
        <f t="shared" si="2"/>
        <v>14352</v>
      </c>
      <c r="J29" t="str">
        <f t="shared" si="3"/>
        <v>✅ Active</v>
      </c>
      <c r="K29" t="str">
        <f t="shared" si="4"/>
        <v>OK</v>
      </c>
    </row>
    <row r="30" spans="1:11" ht="28.8">
      <c r="A30" s="17" t="s">
        <v>60</v>
      </c>
      <c r="B30" s="17" t="s">
        <v>35</v>
      </c>
      <c r="C30" s="17">
        <v>699</v>
      </c>
      <c r="D30">
        <f>COUNTIF(RAW_DATA!$F$2:$F$501,A30)</f>
        <v>11</v>
      </c>
      <c r="E30">
        <v>37</v>
      </c>
      <c r="F30">
        <v>20</v>
      </c>
      <c r="G30">
        <f t="shared" si="0"/>
        <v>101</v>
      </c>
      <c r="H30" t="str">
        <f t="shared" si="1"/>
        <v>🟡 Low</v>
      </c>
      <c r="I30" s="45">
        <f t="shared" si="2"/>
        <v>25863</v>
      </c>
      <c r="J30" t="str">
        <f t="shared" si="3"/>
        <v>✅ Active</v>
      </c>
      <c r="K30" t="str">
        <f t="shared" si="4"/>
        <v>OK</v>
      </c>
    </row>
    <row r="31" spans="1:11" ht="28.8">
      <c r="A31" s="17" t="s">
        <v>182</v>
      </c>
      <c r="B31" s="17" t="s">
        <v>35</v>
      </c>
      <c r="C31" s="17">
        <v>499</v>
      </c>
      <c r="D31">
        <f>COUNTIF(RAW_DATA!$F$2:$F$501,A31)</f>
        <v>15</v>
      </c>
      <c r="E31">
        <v>63</v>
      </c>
      <c r="F31">
        <v>20</v>
      </c>
      <c r="G31">
        <f t="shared" si="0"/>
        <v>126</v>
      </c>
      <c r="H31" t="str">
        <f t="shared" si="1"/>
        <v>🟢 Healthy</v>
      </c>
      <c r="I31" s="45">
        <f t="shared" si="2"/>
        <v>31437</v>
      </c>
      <c r="J31" t="str">
        <f t="shared" si="3"/>
        <v>✅ Active</v>
      </c>
      <c r="K31" t="str">
        <f t="shared" si="4"/>
        <v>OK</v>
      </c>
    </row>
    <row r="32" spans="1:11" ht="28.8">
      <c r="A32" s="17" t="s">
        <v>36</v>
      </c>
      <c r="B32" s="17" t="s">
        <v>35</v>
      </c>
      <c r="C32" s="17">
        <v>249</v>
      </c>
      <c r="D32">
        <f>COUNTIF(RAW_DATA!$F$2:$F$501,A32)</f>
        <v>17</v>
      </c>
      <c r="E32">
        <v>22</v>
      </c>
      <c r="F32">
        <v>20</v>
      </c>
      <c r="G32">
        <f t="shared" si="0"/>
        <v>39</v>
      </c>
      <c r="H32" t="str">
        <f t="shared" si="1"/>
        <v>🟡 Low</v>
      </c>
      <c r="I32" s="45">
        <f t="shared" si="2"/>
        <v>5478</v>
      </c>
      <c r="J32" t="str">
        <f t="shared" si="3"/>
        <v>✅ Active</v>
      </c>
      <c r="K32" t="str">
        <f t="shared" si="4"/>
        <v>OK</v>
      </c>
    </row>
    <row r="33" spans="1:11" ht="28.8">
      <c r="A33" s="17" t="s">
        <v>104</v>
      </c>
      <c r="B33" s="17" t="s">
        <v>35</v>
      </c>
      <c r="C33" s="17">
        <v>1299</v>
      </c>
      <c r="D33">
        <f>COUNTIF(RAW_DATA!$F$2:$F$501,A33)</f>
        <v>10</v>
      </c>
      <c r="E33">
        <v>54</v>
      </c>
      <c r="F33">
        <v>20</v>
      </c>
      <c r="G33">
        <f t="shared" si="0"/>
        <v>162</v>
      </c>
      <c r="H33" t="str">
        <f t="shared" si="1"/>
        <v>🟢 Healthy</v>
      </c>
      <c r="I33" s="45">
        <f t="shared" si="2"/>
        <v>70146</v>
      </c>
      <c r="J33" t="str">
        <f t="shared" si="3"/>
        <v>✅ Active</v>
      </c>
      <c r="K33" t="str">
        <f t="shared" si="4"/>
        <v>OK</v>
      </c>
    </row>
    <row r="34" spans="1:11" ht="43.2">
      <c r="A34" s="17" t="s">
        <v>95</v>
      </c>
      <c r="B34" s="17" t="s">
        <v>35</v>
      </c>
      <c r="C34" s="17">
        <v>399</v>
      </c>
      <c r="D34">
        <f>COUNTIF(RAW_DATA!$F$2:$F$501,A34)</f>
        <v>14</v>
      </c>
      <c r="E34">
        <v>41</v>
      </c>
      <c r="F34">
        <v>20</v>
      </c>
      <c r="G34">
        <f t="shared" si="0"/>
        <v>88</v>
      </c>
      <c r="H34" t="str">
        <f t="shared" si="1"/>
        <v>🟢 Healthy</v>
      </c>
      <c r="I34" s="45">
        <f t="shared" si="2"/>
        <v>16359</v>
      </c>
      <c r="J34" t="str">
        <f t="shared" si="3"/>
        <v>✅ Active</v>
      </c>
      <c r="K34" t="str">
        <f t="shared" si="4"/>
        <v>OK</v>
      </c>
    </row>
    <row r="35" spans="1:11" ht="28.8">
      <c r="A35" s="17" t="s">
        <v>109</v>
      </c>
      <c r="B35" s="17" t="s">
        <v>35</v>
      </c>
      <c r="C35" s="17">
        <v>449</v>
      </c>
      <c r="D35">
        <f>COUNTIF(RAW_DATA!$F$2:$F$501,A35)</f>
        <v>23</v>
      </c>
      <c r="E35">
        <v>16</v>
      </c>
      <c r="F35">
        <v>20</v>
      </c>
      <c r="G35">
        <f t="shared" si="0"/>
        <v>21</v>
      </c>
      <c r="H35" t="str">
        <f t="shared" si="1"/>
        <v>🔴 Critical</v>
      </c>
      <c r="I35" s="45">
        <f t="shared" si="2"/>
        <v>7184</v>
      </c>
      <c r="J35" t="str">
        <f t="shared" si="3"/>
        <v>✅ Active</v>
      </c>
      <c r="K35" t="str">
        <f t="shared" si="4"/>
        <v>Reorder urgently</v>
      </c>
    </row>
    <row r="36" spans="1:11" ht="28.8">
      <c r="A36" s="17" t="s">
        <v>50</v>
      </c>
      <c r="B36" s="17" t="s">
        <v>35</v>
      </c>
      <c r="C36" s="17">
        <v>299</v>
      </c>
      <c r="D36">
        <f>COUNTIF(RAW_DATA!$F$2:$F$501,A36)</f>
        <v>15</v>
      </c>
      <c r="E36">
        <v>77</v>
      </c>
      <c r="F36">
        <v>20</v>
      </c>
      <c r="G36">
        <f t="shared" si="0"/>
        <v>154</v>
      </c>
      <c r="H36" t="str">
        <f t="shared" si="1"/>
        <v>🟢 Healthy</v>
      </c>
      <c r="I36" s="45">
        <f t="shared" si="2"/>
        <v>23023</v>
      </c>
      <c r="J36" t="str">
        <f t="shared" si="3"/>
        <v>✅ Active</v>
      </c>
      <c r="K36" t="str">
        <f t="shared" si="4"/>
        <v>OK</v>
      </c>
    </row>
    <row r="37" spans="1:11" ht="28.8">
      <c r="A37" s="17" t="s">
        <v>57</v>
      </c>
      <c r="B37" s="17" t="s">
        <v>35</v>
      </c>
      <c r="C37" s="17">
        <v>899</v>
      </c>
      <c r="D37">
        <f>COUNTIF(RAW_DATA!$F$2:$F$501,A37)</f>
        <v>25</v>
      </c>
      <c r="E37">
        <v>29</v>
      </c>
      <c r="F37">
        <v>20</v>
      </c>
      <c r="G37">
        <f t="shared" si="0"/>
        <v>35</v>
      </c>
      <c r="H37" t="str">
        <f t="shared" si="1"/>
        <v>🟡 Low</v>
      </c>
      <c r="I37" s="45">
        <f t="shared" si="2"/>
        <v>26071</v>
      </c>
      <c r="J37" t="str">
        <f t="shared" si="3"/>
        <v>✅ Active</v>
      </c>
      <c r="K37" t="str">
        <f t="shared" si="4"/>
        <v>OK</v>
      </c>
    </row>
  </sheetData>
  <mergeCells count="3">
    <mergeCell ref="A1:N1"/>
    <mergeCell ref="A2:N2"/>
    <mergeCell ref="A4:N4"/>
  </mergeCells>
  <conditionalFormatting sqref="H6:H37">
    <cfRule type="containsText" dxfId="8" priority="1" operator="containsText" text="Healthy">
      <formula>NOT(ISERROR(SEARCH("Healthy",H6)))</formula>
    </cfRule>
    <cfRule type="containsText" dxfId="7" priority="2" operator="containsText" text="Healty">
      <formula>NOT(ISERROR(SEARCH("Healty",H6)))</formula>
    </cfRule>
    <cfRule type="containsText" dxfId="6" priority="3" operator="containsText" text="Low">
      <formula>NOT(ISERROR(SEARCH("Low",H6)))</formula>
    </cfRule>
    <cfRule type="containsText" dxfId="5" priority="4" operator="containsText" text="Out of Stock">
      <formula>NOT(ISERROR(SEARCH("Out of Stock",H6)))</formula>
    </cfRule>
    <cfRule type="containsText" dxfId="4" priority="5" operator="containsText" text="Critical">
      <formula>NOT(ISERROR(SEARCH("Critical",H6)))</formula>
    </cfRule>
  </conditionalFormatting>
  <dataValidations count="1">
    <dataValidation type="whole" allowBlank="1" showInputMessage="1" showErrorMessage="1" prompt="Enter reorder point for this product" sqref="F6:F37" xr:uid="{723E0CCF-82B1-4248-A428-2F8C5E4D1EBE}">
      <formula1>0</formula1>
      <formula2>500</formula2>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D7EE6-BC01-4E78-B12D-138181F72B35}">
  <sheetPr>
    <tabColor theme="6" tint="-0.249977111117893"/>
  </sheetPr>
  <dimension ref="A1:O26"/>
  <sheetViews>
    <sheetView showGridLines="0" showRowColHeaders="0" workbookViewId="0">
      <pane ySplit="1" topLeftCell="A2" activePane="bottomLeft" state="frozen"/>
      <selection activeCell="A20" sqref="A20"/>
      <selection pane="bottomLeft" activeCell="A20" sqref="A20"/>
    </sheetView>
  </sheetViews>
  <sheetFormatPr defaultRowHeight="14.4"/>
  <cols>
    <col min="1" max="1" width="16.109375" customWidth="1"/>
    <col min="2" max="2" width="18.21875" customWidth="1"/>
    <col min="3" max="3" width="12.77734375" bestFit="1" customWidth="1"/>
  </cols>
  <sheetData>
    <row r="1" spans="1:15" ht="23.4">
      <c r="A1" s="55" t="s">
        <v>815</v>
      </c>
      <c r="B1" s="55"/>
      <c r="C1" s="55"/>
      <c r="D1" s="55"/>
      <c r="E1" s="55"/>
      <c r="F1" s="55"/>
      <c r="G1" s="55"/>
      <c r="H1" s="55"/>
      <c r="I1" s="55"/>
      <c r="J1" s="55"/>
      <c r="K1" s="55"/>
      <c r="L1" s="55"/>
      <c r="M1" s="55"/>
      <c r="N1" s="55"/>
      <c r="O1" s="55"/>
    </row>
    <row r="2" spans="1:15">
      <c r="A2" s="56" t="s">
        <v>816</v>
      </c>
      <c r="B2" s="56"/>
      <c r="C2" s="56"/>
      <c r="D2" s="56"/>
      <c r="E2" s="56"/>
      <c r="F2" s="56"/>
      <c r="G2" s="56"/>
      <c r="H2" s="56"/>
      <c r="I2" s="56"/>
      <c r="J2" s="56"/>
      <c r="K2" s="56"/>
      <c r="L2" s="56"/>
      <c r="M2" s="56"/>
      <c r="N2" s="56"/>
      <c r="O2" s="56"/>
    </row>
    <row r="4" spans="1:15" ht="16.8">
      <c r="A4" s="57" t="s">
        <v>817</v>
      </c>
      <c r="B4" s="57"/>
      <c r="C4" s="57"/>
    </row>
    <row r="5" spans="1:15" ht="15">
      <c r="A5" s="18" t="s">
        <v>818</v>
      </c>
      <c r="B5" s="18"/>
      <c r="C5" s="48">
        <v>0.69</v>
      </c>
    </row>
    <row r="6" spans="1:15" ht="28.8">
      <c r="A6" s="16" t="s">
        <v>819</v>
      </c>
      <c r="B6" s="16"/>
      <c r="C6" s="48">
        <v>0.18</v>
      </c>
    </row>
    <row r="7" spans="1:15">
      <c r="A7" s="16" t="s">
        <v>820</v>
      </c>
      <c r="B7" s="16"/>
      <c r="C7" s="48">
        <v>0.25</v>
      </c>
    </row>
    <row r="8" spans="1:15" ht="30">
      <c r="A8" s="18" t="s">
        <v>821</v>
      </c>
      <c r="B8" s="18"/>
      <c r="C8" s="48">
        <v>0.08</v>
      </c>
    </row>
    <row r="9" spans="1:15" ht="15">
      <c r="A9" s="18" t="s">
        <v>822</v>
      </c>
      <c r="B9" s="18"/>
      <c r="C9" s="49">
        <v>200000</v>
      </c>
    </row>
    <row r="11" spans="1:15" ht="15.6">
      <c r="A11" s="58" t="s">
        <v>823</v>
      </c>
      <c r="B11" s="58"/>
      <c r="C11" s="58"/>
    </row>
    <row r="13" spans="1:15" ht="15">
      <c r="A13" t="s">
        <v>824</v>
      </c>
      <c r="C13" s="50">
        <f>GETPIVOTDATA("Revenue",PIVOT_HUB!$A$3)</f>
        <v>388014</v>
      </c>
    </row>
    <row r="14" spans="1:15" ht="15">
      <c r="A14" t="s">
        <v>825</v>
      </c>
      <c r="C14" s="51">
        <f>-C13*C8</f>
        <v>-31041.119999999999</v>
      </c>
    </row>
    <row r="15" spans="1:15" ht="15">
      <c r="A15" t="s">
        <v>826</v>
      </c>
      <c r="C15" s="50">
        <f>C13+C14</f>
        <v>356972.88</v>
      </c>
    </row>
    <row r="16" spans="1:15" ht="15">
      <c r="A16" t="s">
        <v>827</v>
      </c>
      <c r="C16" s="51">
        <f>-C15*C5</f>
        <v>-246311.28719999999</v>
      </c>
    </row>
    <row r="17" spans="1:3" ht="15">
      <c r="A17" s="15" t="s">
        <v>828</v>
      </c>
      <c r="C17" s="53">
        <f>C15+C16</f>
        <v>110661.59280000001</v>
      </c>
    </row>
    <row r="18" spans="1:3">
      <c r="A18" t="s">
        <v>829</v>
      </c>
      <c r="C18" s="54">
        <f>C17/C15</f>
        <v>0.31000000000000005</v>
      </c>
    </row>
    <row r="20" spans="1:3">
      <c r="A20" t="s">
        <v>830</v>
      </c>
      <c r="C20" s="52">
        <f>-C15*C6</f>
        <v>-64255.118399999999</v>
      </c>
    </row>
    <row r="21" spans="1:3" ht="15">
      <c r="A21" s="15" t="s">
        <v>831</v>
      </c>
      <c r="C21" s="53">
        <f>C17+C20</f>
        <v>46406.474400000014</v>
      </c>
    </row>
    <row r="22" spans="1:3" ht="15">
      <c r="A22" s="15" t="s">
        <v>835</v>
      </c>
      <c r="C22" s="54">
        <f>C21/C15</f>
        <v>0.13000000000000003</v>
      </c>
    </row>
    <row r="23" spans="1:3" ht="15">
      <c r="A23" s="15"/>
    </row>
    <row r="24" spans="1:3" ht="15">
      <c r="A24" s="15" t="s">
        <v>832</v>
      </c>
      <c r="C24" s="51">
        <f>-C21*C7</f>
        <v>-11601.618600000003</v>
      </c>
    </row>
    <row r="25" spans="1:3" ht="15">
      <c r="A25" s="15" t="s">
        <v>833</v>
      </c>
      <c r="C25" s="53">
        <f>C21+C24</f>
        <v>34804.855800000012</v>
      </c>
    </row>
    <row r="26" spans="1:3">
      <c r="A26" t="s">
        <v>834</v>
      </c>
      <c r="C26" s="54">
        <f>C25/C15</f>
        <v>9.7500000000000031E-2</v>
      </c>
    </row>
  </sheetData>
  <mergeCells count="4">
    <mergeCell ref="A1:O1"/>
    <mergeCell ref="A2:O2"/>
    <mergeCell ref="A4:C4"/>
    <mergeCell ref="A11:C11"/>
  </mergeCells>
  <phoneticPr fontId="24" type="noConversion"/>
  <conditionalFormatting sqref="C25">
    <cfRule type="cellIs" dxfId="3" priority="1" operator="lessThan">
      <formula>C25&lt;$C$9</formula>
    </cfRule>
    <cfRule type="cellIs" dxfId="2" priority="2" operator="greaterThan">
      <formula>C25&gt;$C$9</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53DAA-5B0E-4B03-B89D-D456A7CF3D7B}">
  <sheetPr>
    <tabColor theme="7" tint="-0.249977111117893"/>
  </sheetPr>
  <dimension ref="A1:N17"/>
  <sheetViews>
    <sheetView showRowColHeaders="0" tabSelected="1" zoomScale="83" zoomScaleNormal="184" workbookViewId="0">
      <pane ySplit="1" topLeftCell="A2" activePane="bottomLeft" state="frozen"/>
      <selection activeCell="A20" sqref="A20"/>
      <selection pane="bottomLeft" activeCell="A20" sqref="A20"/>
    </sheetView>
  </sheetViews>
  <sheetFormatPr defaultRowHeight="14.4"/>
  <cols>
    <col min="1" max="1" width="10.5546875" customWidth="1"/>
    <col min="2" max="3" width="11.33203125" customWidth="1"/>
    <col min="4" max="4" width="13.77734375" customWidth="1"/>
    <col min="5" max="6" width="11.109375" bestFit="1" customWidth="1"/>
  </cols>
  <sheetData>
    <row r="1" spans="1:14" ht="23.4">
      <c r="A1" s="55" t="s">
        <v>836</v>
      </c>
      <c r="B1" s="55"/>
      <c r="C1" s="55"/>
      <c r="D1" s="55"/>
      <c r="E1" s="55"/>
      <c r="F1" s="55"/>
      <c r="G1" s="55"/>
      <c r="H1" s="55"/>
      <c r="I1" s="55"/>
      <c r="J1" s="55"/>
      <c r="K1" s="55"/>
      <c r="L1" s="55"/>
      <c r="M1" s="55"/>
      <c r="N1" s="55"/>
    </row>
    <row r="2" spans="1:14">
      <c r="A2" s="72" t="s">
        <v>837</v>
      </c>
      <c r="B2" s="72"/>
      <c r="C2" s="72"/>
      <c r="D2" s="72"/>
      <c r="E2" s="72"/>
      <c r="F2" s="72"/>
      <c r="G2" s="72"/>
      <c r="H2" s="72"/>
      <c r="I2" s="72"/>
      <c r="J2" s="72"/>
      <c r="K2" s="72"/>
      <c r="L2" s="72"/>
      <c r="M2" s="72"/>
      <c r="N2" s="72"/>
    </row>
    <row r="3" spans="1:14">
      <c r="A3" s="110" t="str">
        <f>"#1 Performing Store: "&amp;INDEX($A$5:$A$9,MATCH(MAX($G$5:$G$9),$G$5:$G$9,0))&amp;" with a weighted score of "&amp;TEXT(MAX($G$5:$G$9),"0.0%")</f>
        <v>#1 Performing Store: Mumbai Central with a weighted score of 96.6%</v>
      </c>
      <c r="B3" s="110"/>
      <c r="C3" s="110"/>
      <c r="D3" s="110"/>
      <c r="E3" s="110"/>
      <c r="F3" s="110"/>
      <c r="G3" s="110"/>
      <c r="H3" s="110"/>
      <c r="I3" s="110"/>
      <c r="J3" s="110"/>
      <c r="K3" s="110"/>
      <c r="L3" s="110"/>
      <c r="M3" s="110"/>
      <c r="N3" s="110"/>
    </row>
    <row r="4" spans="1:14" ht="30">
      <c r="A4" s="46" t="s">
        <v>785</v>
      </c>
      <c r="B4" s="46" t="s">
        <v>11</v>
      </c>
      <c r="C4" s="46" t="s">
        <v>13</v>
      </c>
      <c r="D4" s="87" t="s">
        <v>786</v>
      </c>
      <c r="E4" s="46" t="s">
        <v>838</v>
      </c>
      <c r="F4" s="46" t="s">
        <v>793</v>
      </c>
      <c r="G4" s="88" t="s">
        <v>839</v>
      </c>
      <c r="H4" s="46" t="s">
        <v>840</v>
      </c>
      <c r="J4" s="35" t="s">
        <v>796</v>
      </c>
      <c r="K4" s="35" t="s">
        <v>841</v>
      </c>
    </row>
    <row r="5" spans="1:14" ht="43.2" customHeight="1">
      <c r="A5" s="92" t="str">
        <f>PIVOT_HUB!F4</f>
        <v>Aurangabad Square</v>
      </c>
      <c r="B5" s="73">
        <f>PIVOT_HUB!G4</f>
        <v>79591.5</v>
      </c>
      <c r="C5" s="73">
        <f>PIVOT_HUB!H4</f>
        <v>27857.024999999998</v>
      </c>
      <c r="D5" s="74">
        <f>C5/B5</f>
        <v>0.35</v>
      </c>
      <c r="E5" s="75">
        <f>COUNTIF(RAW_DATA!$C$2:$C$501,A5)</f>
        <v>117</v>
      </c>
      <c r="F5" s="76">
        <f>B5/E5</f>
        <v>680.26923076923072</v>
      </c>
      <c r="G5" s="77">
        <f>(B5/MAX($B$5:$B$9))*$K$5+(D5/MAX($D$5:$D$9))*$K$6+(E5/MAX($E$5:$E$9))*$K$7</f>
        <v>0.9460876182193716</v>
      </c>
      <c r="H5" s="78">
        <f>RANK(G5,$G$5:$G$9,0)</f>
        <v>3</v>
      </c>
      <c r="J5" s="95" t="s">
        <v>11</v>
      </c>
      <c r="K5" s="85">
        <v>0.4</v>
      </c>
    </row>
    <row r="6" spans="1:14" ht="28.8">
      <c r="A6" s="93" t="str">
        <f>PIVOT_HUB!F5</f>
        <v>Mumbai Central</v>
      </c>
      <c r="B6" s="73">
        <f>PIVOT_HUB!G5</f>
        <v>91990</v>
      </c>
      <c r="C6" s="73">
        <f>PIVOT_HUB!H5</f>
        <v>32196.5</v>
      </c>
      <c r="D6" s="74">
        <f>C6/B6</f>
        <v>0.35</v>
      </c>
      <c r="E6" s="75">
        <f>COUNTIF(RAW_DATA!$C$2:$C$501,A6)</f>
        <v>101</v>
      </c>
      <c r="F6" s="76">
        <f t="shared" ref="F6:F9" si="0">B6/E6</f>
        <v>910.79207920792078</v>
      </c>
      <c r="G6" s="77">
        <f t="shared" ref="G6:G9" si="1">(B6/MAX($B$5:$B$9))*$K$5+(D6/MAX($D$5:$D$9))*$K$6+(E6/MAX($E$5:$E$9))*$K$7</f>
        <v>0.9658119658119656</v>
      </c>
      <c r="H6" s="78">
        <f t="shared" ref="H6:H8" si="2">RANK(G6,$G$5:$G$9,0)</f>
        <v>1</v>
      </c>
      <c r="J6" s="91" t="s">
        <v>842</v>
      </c>
      <c r="K6" s="85">
        <v>0.35</v>
      </c>
    </row>
    <row r="7" spans="1:14">
      <c r="A7" s="93" t="str">
        <f>PIVOT_HUB!F6</f>
        <v>Nagpur Hub</v>
      </c>
      <c r="B7" s="73">
        <f>PIVOT_HUB!G6</f>
        <v>83293</v>
      </c>
      <c r="C7" s="73">
        <f>PIVOT_HUB!H6</f>
        <v>29152.55000000001</v>
      </c>
      <c r="D7" s="74">
        <f t="shared" ref="D6:D9" si="3">C7/B7</f>
        <v>0.35000000000000014</v>
      </c>
      <c r="E7" s="75">
        <f>COUNTIF(RAW_DATA!$C$2:$C$501,A7)</f>
        <v>112</v>
      </c>
      <c r="F7" s="76">
        <f t="shared" si="0"/>
        <v>743.6875</v>
      </c>
      <c r="G7" s="77">
        <f t="shared" si="1"/>
        <v>0.95149908527775695</v>
      </c>
      <c r="H7" s="78">
        <f t="shared" si="2"/>
        <v>2</v>
      </c>
      <c r="J7" s="96" t="s">
        <v>838</v>
      </c>
      <c r="K7" s="86">
        <v>0.25</v>
      </c>
    </row>
    <row r="8" spans="1:14" ht="28.8">
      <c r="A8" s="93" t="str">
        <f>PIVOT_HUB!F7</f>
        <v>Nashik Point</v>
      </c>
      <c r="B8" s="73">
        <f>PIVOT_HUB!G7</f>
        <v>66173.5</v>
      </c>
      <c r="C8" s="73">
        <f>PIVOT_HUB!H7</f>
        <v>23160.724999999999</v>
      </c>
      <c r="D8" s="74">
        <f t="shared" si="3"/>
        <v>0.35</v>
      </c>
      <c r="E8" s="75">
        <f>COUNTIF(RAW_DATA!$C$2:$C$501,A8)</f>
        <v>87</v>
      </c>
      <c r="F8" s="76">
        <f t="shared" si="0"/>
        <v>760.61494252873558</v>
      </c>
      <c r="G8" s="77">
        <f t="shared" si="1"/>
        <v>0.82363958178285801</v>
      </c>
      <c r="H8" s="78">
        <f t="shared" si="2"/>
        <v>4</v>
      </c>
    </row>
    <row r="9" spans="1:14" ht="28.8">
      <c r="A9" s="94" t="str">
        <f>PIVOT_HUB!F8</f>
        <v>Pune West</v>
      </c>
      <c r="B9" s="79">
        <f>PIVOT_HUB!G8</f>
        <v>66966</v>
      </c>
      <c r="C9" s="79">
        <f>PIVOT_HUB!H8</f>
        <v>23438.100000000002</v>
      </c>
      <c r="D9" s="80">
        <f t="shared" si="3"/>
        <v>0.35000000000000003</v>
      </c>
      <c r="E9" s="81">
        <f>COUNTIF(RAW_DATA!$C$2:$C$501,A9)</f>
        <v>83</v>
      </c>
      <c r="F9" s="82">
        <f t="shared" si="0"/>
        <v>806.81927710843377</v>
      </c>
      <c r="G9" s="83">
        <f t="shared" si="1"/>
        <v>0.81853859997788669</v>
      </c>
      <c r="H9" s="84">
        <f>RANK(G9,$G$5:$G$9,0)</f>
        <v>5</v>
      </c>
      <c r="J9" s="114" t="s">
        <v>848</v>
      </c>
      <c r="K9" s="118" t="s">
        <v>33</v>
      </c>
      <c r="L9" s="114" t="s">
        <v>850</v>
      </c>
      <c r="M9" s="114" t="s">
        <v>849</v>
      </c>
      <c r="N9" s="118" t="s">
        <v>15</v>
      </c>
    </row>
    <row r="10" spans="1:14">
      <c r="A10" s="115"/>
      <c r="B10" s="73"/>
      <c r="C10" s="73"/>
      <c r="D10" s="74"/>
      <c r="E10" s="75"/>
      <c r="F10" s="76"/>
      <c r="G10" s="77"/>
      <c r="H10" s="75"/>
      <c r="J10" s="117"/>
      <c r="K10" s="116"/>
      <c r="L10" s="117"/>
      <c r="M10" s="117"/>
      <c r="N10" s="116"/>
    </row>
    <row r="11" spans="1:14">
      <c r="J11" s="21" t="s">
        <v>796</v>
      </c>
      <c r="K11" s="21" t="s">
        <v>848</v>
      </c>
      <c r="L11" s="21"/>
      <c r="M11" s="21" t="s">
        <v>851</v>
      </c>
      <c r="N11" s="14"/>
    </row>
    <row r="12" spans="1:14" ht="28.8">
      <c r="A12" s="89" t="s">
        <v>796</v>
      </c>
      <c r="B12" s="90" t="str">
        <f>A5</f>
        <v>Aurangabad Square</v>
      </c>
      <c r="C12" s="90" t="str">
        <f>A6</f>
        <v>Mumbai Central</v>
      </c>
      <c r="D12" s="90" t="str">
        <f>A7</f>
        <v>Nagpur Hub</v>
      </c>
      <c r="E12" s="90" t="str">
        <f>A8</f>
        <v>Nashik Point</v>
      </c>
      <c r="F12" s="90" t="str">
        <f>A9</f>
        <v>Pune West</v>
      </c>
      <c r="J12" s="95" t="s">
        <v>11</v>
      </c>
      <c r="K12" s="75">
        <f>VLOOKUP(K9,$A$5:$H$9,2,0)</f>
        <v>83293</v>
      </c>
      <c r="L12" s="75"/>
      <c r="M12" s="78">
        <f>VLOOKUP(N9,$A$5:$H$9,2,0)</f>
        <v>91990</v>
      </c>
      <c r="N12" s="14"/>
    </row>
    <row r="13" spans="1:14" ht="30">
      <c r="A13" s="97" t="s">
        <v>843</v>
      </c>
      <c r="B13" s="98">
        <f>B5/MAX($B$5:$B$9)</f>
        <v>0.86521904554842921</v>
      </c>
      <c r="C13" s="98">
        <f>B6/MAX($B$5:$B$9)</f>
        <v>1</v>
      </c>
      <c r="D13" s="98">
        <f>B7/MAX($B$5:$B$9)</f>
        <v>0.90545711490379388</v>
      </c>
      <c r="E13" s="98">
        <f>B8/MAX($B$5:$B$9)</f>
        <v>0.71935536471355577</v>
      </c>
      <c r="F13" s="99">
        <f>B9/MAX($B$5:$B$9)</f>
        <v>0.72797043156864871</v>
      </c>
      <c r="J13" s="91" t="s">
        <v>842</v>
      </c>
      <c r="K13" s="75">
        <f>VLOOKUP(K9,$A$5:$H$9,4,0)</f>
        <v>0.35000000000000014</v>
      </c>
      <c r="L13" s="75"/>
      <c r="M13" s="78">
        <f>VLOOKUP(N9,$A$5:$H$9,4,0)</f>
        <v>0.35</v>
      </c>
      <c r="N13" s="14"/>
    </row>
    <row r="14" spans="1:14" ht="45">
      <c r="A14" s="100" t="s">
        <v>844</v>
      </c>
      <c r="B14" s="98">
        <f>E5/MAX($E$5:$E$9)</f>
        <v>1</v>
      </c>
      <c r="C14" s="98">
        <f>E6/MAX($E$5:$E$9)</f>
        <v>0.86324786324786329</v>
      </c>
      <c r="D14" s="98">
        <f>E7/MAX(E5:E9)</f>
        <v>0.95726495726495731</v>
      </c>
      <c r="E14" s="98">
        <f>E8/MAX($E$5:$E$9)</f>
        <v>0.74358974358974361</v>
      </c>
      <c r="F14" s="99">
        <f>E9/MAX($E$5:$E$9)</f>
        <v>0.70940170940170943</v>
      </c>
      <c r="J14" s="91" t="s">
        <v>838</v>
      </c>
      <c r="K14" s="105">
        <f>VLOOKUP(K9,$A$5:$H$9,5,0)</f>
        <v>112</v>
      </c>
      <c r="L14" s="75"/>
      <c r="M14" s="106">
        <f>VLOOKUP(N9,$A$5:$H$9,5,0)</f>
        <v>101</v>
      </c>
      <c r="N14" s="14"/>
    </row>
    <row r="15" spans="1:14" ht="45">
      <c r="A15" s="100" t="s">
        <v>845</v>
      </c>
      <c r="B15" s="98">
        <f>F5/MAX($F$5:$F$9)</f>
        <v>0.74689849231103711</v>
      </c>
      <c r="C15" s="98">
        <f>F6/MAX($F$5:$F$9)</f>
        <v>1</v>
      </c>
      <c r="D15" s="101">
        <f>F7/MAX($F$5:$F$9)</f>
        <v>0.81652829111859981</v>
      </c>
      <c r="E15" s="101">
        <f>F8/MAX($F$5:$F$9)</f>
        <v>0.83511369926516243</v>
      </c>
      <c r="F15" s="102">
        <f>F9/MAX($F$5:$F$9)</f>
        <v>0.8858435372100425</v>
      </c>
      <c r="J15" s="108" t="s">
        <v>839</v>
      </c>
      <c r="K15" s="75">
        <f>VLOOKUP(K9,$A$5:$H$9,7,0)</f>
        <v>0.95149908527775695</v>
      </c>
      <c r="L15" s="75"/>
      <c r="M15" s="78">
        <f>VLOOKUP(N9,$A$5:$H$9,7,0)</f>
        <v>0.9658119658119656</v>
      </c>
      <c r="N15" s="14"/>
    </row>
    <row r="16" spans="1:14" ht="45">
      <c r="A16" s="100" t="s">
        <v>846</v>
      </c>
      <c r="B16" s="98">
        <f>G5</f>
        <v>0.9460876182193716</v>
      </c>
      <c r="C16" s="98">
        <f>G6</f>
        <v>0.9658119658119656</v>
      </c>
      <c r="D16" s="98">
        <f>G7</f>
        <v>0.95149908527775695</v>
      </c>
      <c r="E16" s="98">
        <f>G8</f>
        <v>0.82363958178285801</v>
      </c>
      <c r="F16" s="99">
        <f>G9</f>
        <v>0.81853859997788669</v>
      </c>
      <c r="J16" s="109" t="s">
        <v>852</v>
      </c>
      <c r="K16" s="81" t="str">
        <f>IF(K12&gt;M12,"✅ Better","❌ Lower")</f>
        <v>❌ Lower</v>
      </c>
      <c r="L16" s="81"/>
      <c r="M16" s="107" t="str">
        <f>IF(M12&gt;K12,"✅ Better","❌ Lower")</f>
        <v>✅ Better</v>
      </c>
      <c r="N16" s="14"/>
    </row>
    <row r="17" spans="1:6" ht="28.8">
      <c r="A17" s="94" t="s">
        <v>847</v>
      </c>
      <c r="B17" s="103">
        <f>G5</f>
        <v>0.9460876182193716</v>
      </c>
      <c r="C17" s="103">
        <f>G6</f>
        <v>0.9658119658119656</v>
      </c>
      <c r="D17" s="103">
        <f>G7</f>
        <v>0.95149908527775695</v>
      </c>
      <c r="E17" s="103">
        <f>G8</f>
        <v>0.82363958178285801</v>
      </c>
      <c r="F17" s="104">
        <f>G9</f>
        <v>0.81853859997788669</v>
      </c>
    </row>
  </sheetData>
  <mergeCells count="3">
    <mergeCell ref="A1:N1"/>
    <mergeCell ref="A2:N2"/>
    <mergeCell ref="A3:N3"/>
  </mergeCells>
  <conditionalFormatting sqref="H5:H10">
    <cfRule type="cellIs" dxfId="1" priority="1" operator="equal">
      <formula>5</formula>
    </cfRule>
    <cfRule type="cellIs" dxfId="0" priority="2" operator="equal">
      <formula>1</formula>
    </cfRule>
  </conditionalFormatting>
  <dataValidations count="1">
    <dataValidation type="list" allowBlank="1" showInputMessage="1" showErrorMessage="1" sqref="K9:K10 N9:N10" xr:uid="{64CD28BB-CFE9-4FF1-8ED6-C8045D728ABF}">
      <formula1>$A$5:$A$9</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HOME</vt:lpstr>
      <vt:lpstr>SALES_ANALYSIS</vt:lpstr>
      <vt:lpstr>PIVOT_HUB</vt:lpstr>
      <vt:lpstr>EXEC_SUMMARY</vt:lpstr>
      <vt:lpstr>CUSTOMER_INSIGHTS</vt:lpstr>
      <vt:lpstr>RAW_DATA</vt:lpstr>
      <vt:lpstr>INVENTORY</vt:lpstr>
      <vt:lpstr>PnL</vt:lpstr>
      <vt:lpstr>STORE_COMPARISON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pradnya gadhave</cp:lastModifiedBy>
  <cp:revision>0</cp:revision>
  <dcterms:created xsi:type="dcterms:W3CDTF">2026-05-26T15:04:39Z</dcterms:created>
  <dcterms:modified xsi:type="dcterms:W3CDTF">2026-05-28T09:52:26Z</dcterms:modified>
  <dc:language>en-US</dc:language>
</cp:coreProperties>
</file>